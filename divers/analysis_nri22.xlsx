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ink/ink1.xml" ContentType="application/inkml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cantacuzene/phd/analysis/n_ri_22/divers/"/>
    </mc:Choice>
  </mc:AlternateContent>
  <xr:revisionPtr revIDLastSave="0" documentId="13_ncr:1_{F40C6D17-6513-9242-A3B6-371C74C1AFCE}" xr6:coauthVersionLast="47" xr6:coauthVersionMax="47" xr10:uidLastSave="{00000000-0000-0000-0000-000000000000}"/>
  <bookViews>
    <workbookView xWindow="0" yWindow="500" windowWidth="28800" windowHeight="16300" firstSheet="8" activeTab="11" xr2:uid="{E76A3D8A-04E9-2843-901E-00CE4EC30078}"/>
  </bookViews>
  <sheets>
    <sheet name="Tri runs" sheetId="9" r:id="rId1"/>
    <sheet name="Tri runs MANIP" sheetId="8" r:id="rId2"/>
    <sheet name="Eff 82Ga" sheetId="5" r:id="rId3"/>
    <sheet name="eff82 bis" sheetId="25" r:id="rId4"/>
    <sheet name="eff82 bis bis" sheetId="26" r:id="rId5"/>
    <sheet name="etude incert sys fit" sheetId="27" r:id="rId6"/>
    <sheet name="etude code coincs" sheetId="28" r:id="rId7"/>
    <sheet name="Etude effb Qb" sheetId="23" r:id="rId8"/>
    <sheet name="Pn 82Ga" sheetId="16" r:id="rId9"/>
    <sheet name="Eff 84Ga" sheetId="15" r:id="rId10"/>
    <sheet name="eff 84Ga bis" sheetId="29" r:id="rId11"/>
    <sheet name="&lt;n&gt;  84Ga" sheetId="14" r:id="rId12"/>
    <sheet name="P2n 84Ga" sheetId="24" r:id="rId13"/>
    <sheet name="Eff 125Ag" sheetId="18" r:id="rId14"/>
    <sheet name="Pn 125Ag" sheetId="19" r:id="rId15"/>
    <sheet name="Rapports d'embranchement 84Ga" sheetId="20" r:id="rId16"/>
    <sheet name="Calibration Run par Run" sheetId="22" r:id="rId17"/>
    <sheet name="Efficacité source dans chambre" sheetId="21" r:id="rId18"/>
    <sheet name="Calbration RUN58" sheetId="7" r:id="rId19"/>
    <sheet name="Comparaison reglages beta" sheetId="4" r:id="rId20"/>
    <sheet name="RUN51" sheetId="10" r:id="rId21"/>
    <sheet name="Feuil1" sheetId="30" r:id="rId22"/>
    <sheet name="Calcul Pn 82Ga avec RUN29" sheetId="6" r:id="rId23"/>
    <sheet name="RUN55" sheetId="13" r:id="rId24"/>
    <sheet name="RUN56" sheetId="11" r:id="rId25"/>
    <sheet name="RUN61" sheetId="12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4" l="1"/>
  <c r="H3" i="14"/>
  <c r="C31" i="20"/>
  <c r="D31" i="20"/>
  <c r="E31" i="20"/>
  <c r="B31" i="20"/>
  <c r="C30" i="20"/>
  <c r="D30" i="20"/>
  <c r="E30" i="20"/>
  <c r="B30" i="20"/>
  <c r="E26" i="20"/>
  <c r="C26" i="20"/>
  <c r="D26" i="20"/>
  <c r="B26" i="20"/>
  <c r="D25" i="20"/>
  <c r="M6" i="20"/>
  <c r="E25" i="20"/>
  <c r="E45" i="20"/>
  <c r="D45" i="20"/>
  <c r="E43" i="20"/>
  <c r="D43" i="20"/>
  <c r="C43" i="20"/>
  <c r="D17" i="20"/>
  <c r="H5" i="14"/>
  <c r="J5" i="14" s="1"/>
  <c r="D7" i="14"/>
  <c r="B7" i="14"/>
  <c r="G3" i="14"/>
  <c r="F3" i="14"/>
  <c r="F5" i="14"/>
  <c r="E6" i="14"/>
  <c r="D6" i="14"/>
  <c r="C6" i="14"/>
  <c r="B6" i="14"/>
  <c r="L4" i="20"/>
  <c r="G4" i="24"/>
  <c r="F6" i="24"/>
  <c r="E6" i="24"/>
  <c r="D6" i="24"/>
  <c r="C6" i="24"/>
  <c r="C4" i="24"/>
  <c r="G2" i="24"/>
  <c r="C16" i="21"/>
  <c r="D16" i="21"/>
  <c r="E16" i="21"/>
  <c r="F16" i="21"/>
  <c r="G16" i="21"/>
  <c r="H16" i="21"/>
  <c r="I16" i="21"/>
  <c r="J16" i="21"/>
  <c r="K16" i="21"/>
  <c r="B16" i="21"/>
  <c r="B11" i="21"/>
  <c r="F13" i="30"/>
  <c r="F12" i="30"/>
  <c r="F11" i="30"/>
  <c r="F10" i="30"/>
  <c r="F9" i="30"/>
  <c r="F8" i="30"/>
  <c r="B9" i="30"/>
  <c r="B10" i="30"/>
  <c r="B11" i="30"/>
  <c r="B8" i="30"/>
  <c r="E24" i="30"/>
  <c r="E23" i="30"/>
  <c r="E22" i="30"/>
  <c r="E21" i="30"/>
  <c r="E20" i="30"/>
  <c r="E19" i="30"/>
  <c r="E13" i="30"/>
  <c r="E12" i="30"/>
  <c r="E11" i="30"/>
  <c r="E10" i="30"/>
  <c r="E9" i="30"/>
  <c r="E8" i="30"/>
  <c r="E6" i="30"/>
  <c r="E5" i="30"/>
  <c r="E4" i="30"/>
  <c r="E3" i="30"/>
  <c r="E2" i="30"/>
  <c r="E1" i="30"/>
  <c r="M28" i="29"/>
  <c r="L28" i="29"/>
  <c r="R28" i="29"/>
  <c r="Q28" i="29"/>
  <c r="P30" i="29"/>
  <c r="P26" i="29"/>
  <c r="K26" i="29"/>
  <c r="K30" i="29"/>
  <c r="O30" i="29"/>
  <c r="O26" i="29"/>
  <c r="J30" i="29"/>
  <c r="J26" i="29"/>
  <c r="F26" i="29"/>
  <c r="G30" i="29"/>
  <c r="G26" i="29"/>
  <c r="F30" i="29"/>
  <c r="G21" i="29"/>
  <c r="G17" i="29"/>
  <c r="G5" i="29"/>
  <c r="G9" i="29"/>
  <c r="J4" i="26"/>
  <c r="F21" i="29"/>
  <c r="Q9" i="29" s="1"/>
  <c r="F17" i="29"/>
  <c r="F9" i="29"/>
  <c r="P9" i="29" s="1"/>
  <c r="F5" i="29"/>
  <c r="D27" i="28"/>
  <c r="D23" i="28"/>
  <c r="D19" i="28"/>
  <c r="D15" i="28"/>
  <c r="D11" i="28"/>
  <c r="D7" i="28"/>
  <c r="D3" i="28"/>
  <c r="J2" i="25"/>
  <c r="K2" i="25"/>
  <c r="I58" i="25"/>
  <c r="I54" i="25"/>
  <c r="I50" i="25"/>
  <c r="F58" i="25"/>
  <c r="F54" i="25"/>
  <c r="F50" i="25"/>
  <c r="E58" i="25"/>
  <c r="H58" i="25" s="1"/>
  <c r="D58" i="25"/>
  <c r="E54" i="25"/>
  <c r="H54" i="25" s="1"/>
  <c r="D54" i="25"/>
  <c r="E50" i="25"/>
  <c r="H50" i="25" s="1"/>
  <c r="D50" i="25"/>
  <c r="D33" i="27"/>
  <c r="G15" i="27"/>
  <c r="E15" i="27"/>
  <c r="F15" i="27" s="1"/>
  <c r="G11" i="27"/>
  <c r="F11" i="27"/>
  <c r="E11" i="27"/>
  <c r="G7" i="27"/>
  <c r="E7" i="27"/>
  <c r="F7" i="27" s="1"/>
  <c r="O7" i="27"/>
  <c r="M7" i="27"/>
  <c r="N7" i="27" s="1"/>
  <c r="P6" i="26"/>
  <c r="W51" i="26"/>
  <c r="O6" i="26"/>
  <c r="C5" i="16"/>
  <c r="B25" i="16"/>
  <c r="U59" i="26"/>
  <c r="T59" i="26"/>
  <c r="V59" i="26" s="1"/>
  <c r="U55" i="26"/>
  <c r="T55" i="26"/>
  <c r="V55" i="26" s="1"/>
  <c r="U51" i="26"/>
  <c r="T51" i="26"/>
  <c r="V51" i="26"/>
  <c r="L55" i="26"/>
  <c r="L51" i="26"/>
  <c r="L8" i="26"/>
  <c r="L12" i="26"/>
  <c r="L16" i="26"/>
  <c r="L20" i="26"/>
  <c r="L24" i="26"/>
  <c r="L28" i="26"/>
  <c r="L36" i="26"/>
  <c r="L40" i="26"/>
  <c r="L44" i="26"/>
  <c r="K55" i="26"/>
  <c r="J55" i="26"/>
  <c r="K51" i="26"/>
  <c r="J51" i="26"/>
  <c r="K44" i="26"/>
  <c r="J44" i="26"/>
  <c r="K40" i="26"/>
  <c r="J40" i="26"/>
  <c r="K36" i="26"/>
  <c r="J36" i="26"/>
  <c r="K28" i="26"/>
  <c r="J28" i="26"/>
  <c r="K24" i="26"/>
  <c r="J24" i="26"/>
  <c r="K20" i="26"/>
  <c r="J20" i="26"/>
  <c r="K16" i="26"/>
  <c r="J16" i="26"/>
  <c r="K12" i="26"/>
  <c r="J12" i="26"/>
  <c r="K8" i="26"/>
  <c r="J8" i="26"/>
  <c r="H55" i="26"/>
  <c r="H51" i="26"/>
  <c r="H44" i="26"/>
  <c r="H40" i="26"/>
  <c r="H36" i="26"/>
  <c r="H28" i="26"/>
  <c r="H24" i="26"/>
  <c r="H20" i="26"/>
  <c r="H16" i="26"/>
  <c r="H12" i="26"/>
  <c r="H8" i="26"/>
  <c r="F59" i="26"/>
  <c r="K59" i="26" s="1"/>
  <c r="F55" i="26"/>
  <c r="F51" i="26"/>
  <c r="F44" i="26"/>
  <c r="F40" i="26"/>
  <c r="F36" i="26"/>
  <c r="F32" i="26"/>
  <c r="H32" i="26" s="1"/>
  <c r="F28" i="26"/>
  <c r="F24" i="26"/>
  <c r="F20" i="26"/>
  <c r="F16" i="26"/>
  <c r="F12" i="26"/>
  <c r="F8" i="26"/>
  <c r="F4" i="26"/>
  <c r="H4" i="26" s="1"/>
  <c r="G59" i="26"/>
  <c r="G55" i="26"/>
  <c r="G51" i="26"/>
  <c r="G44" i="26"/>
  <c r="G40" i="26"/>
  <c r="G36" i="26"/>
  <c r="G28" i="26"/>
  <c r="G24" i="26"/>
  <c r="G20" i="26"/>
  <c r="G16" i="26"/>
  <c r="G12" i="26"/>
  <c r="G8" i="26"/>
  <c r="Q55" i="26"/>
  <c r="R55" i="26" s="1"/>
  <c r="Q59" i="26"/>
  <c r="R59" i="26" s="1"/>
  <c r="Q51" i="26"/>
  <c r="R51" i="26" s="1"/>
  <c r="E51" i="26"/>
  <c r="E55" i="26"/>
  <c r="E59" i="26"/>
  <c r="E8" i="26"/>
  <c r="E12" i="26"/>
  <c r="E16" i="26"/>
  <c r="E20" i="26"/>
  <c r="E24" i="26"/>
  <c r="E28" i="26"/>
  <c r="E32" i="26"/>
  <c r="G32" i="26" s="1"/>
  <c r="E36" i="26"/>
  <c r="E40" i="26"/>
  <c r="E44" i="26"/>
  <c r="E4" i="26"/>
  <c r="G4" i="26" s="1"/>
  <c r="O59" i="26"/>
  <c r="O55" i="26"/>
  <c r="O51" i="26"/>
  <c r="C59" i="26"/>
  <c r="C55" i="26"/>
  <c r="C51" i="26"/>
  <c r="C4" i="26"/>
  <c r="C44" i="26"/>
  <c r="C40" i="26"/>
  <c r="C36" i="26"/>
  <c r="C32" i="26"/>
  <c r="C28" i="26"/>
  <c r="C24" i="26"/>
  <c r="C20" i="26"/>
  <c r="C16" i="26"/>
  <c r="C12" i="26"/>
  <c r="C8" i="26"/>
  <c r="D3" i="25"/>
  <c r="F42" i="5"/>
  <c r="S4" i="25"/>
  <c r="S5" i="25"/>
  <c r="S6" i="25"/>
  <c r="S7" i="25"/>
  <c r="S8" i="25"/>
  <c r="S9" i="25"/>
  <c r="S10" i="25"/>
  <c r="S11" i="25"/>
  <c r="S12" i="25"/>
  <c r="S13" i="25"/>
  <c r="S3" i="25"/>
  <c r="Q4" i="25"/>
  <c r="Q5" i="25"/>
  <c r="Q6" i="25"/>
  <c r="Q7" i="25"/>
  <c r="Q8" i="25"/>
  <c r="Q9" i="25"/>
  <c r="Q10" i="25"/>
  <c r="Q11" i="25"/>
  <c r="Q12" i="25"/>
  <c r="Q13" i="25"/>
  <c r="Q3" i="25"/>
  <c r="R4" i="25"/>
  <c r="R5" i="25"/>
  <c r="R6" i="25"/>
  <c r="R7" i="25"/>
  <c r="R8" i="25"/>
  <c r="R9" i="25"/>
  <c r="R10" i="25"/>
  <c r="R11" i="25"/>
  <c r="R12" i="25"/>
  <c r="R13" i="25"/>
  <c r="R3" i="25"/>
  <c r="E7" i="25"/>
  <c r="E11" i="25"/>
  <c r="E15" i="25"/>
  <c r="E19" i="25"/>
  <c r="H19" i="25" s="1"/>
  <c r="E23" i="25"/>
  <c r="E27" i="25"/>
  <c r="H27" i="25" s="1"/>
  <c r="E31" i="25"/>
  <c r="H31" i="25" s="1"/>
  <c r="E35" i="25"/>
  <c r="H35" i="25" s="1"/>
  <c r="E39" i="25"/>
  <c r="E43" i="25"/>
  <c r="E3" i="25"/>
  <c r="P4" i="25"/>
  <c r="P5" i="25"/>
  <c r="P6" i="25"/>
  <c r="P7" i="25"/>
  <c r="P8" i="25"/>
  <c r="P9" i="25"/>
  <c r="P10" i="25"/>
  <c r="P11" i="25"/>
  <c r="P12" i="25"/>
  <c r="P13" i="25"/>
  <c r="P3" i="25"/>
  <c r="D7" i="25"/>
  <c r="D11" i="25"/>
  <c r="D15" i="25"/>
  <c r="D19" i="25"/>
  <c r="D23" i="25"/>
  <c r="D27" i="25"/>
  <c r="D31" i="25"/>
  <c r="D35" i="25"/>
  <c r="D39" i="25"/>
  <c r="D43" i="25"/>
  <c r="B25" i="20"/>
  <c r="E31" i="5"/>
  <c r="D31" i="5"/>
  <c r="B31" i="5"/>
  <c r="E36" i="5"/>
  <c r="E41" i="5"/>
  <c r="D41" i="5"/>
  <c r="B41" i="5"/>
  <c r="D36" i="5"/>
  <c r="B36" i="5"/>
  <c r="H17" i="20"/>
  <c r="I17" i="20"/>
  <c r="J17" i="20"/>
  <c r="H23" i="20"/>
  <c r="I23" i="20"/>
  <c r="J23" i="20"/>
  <c r="J25" i="20" s="1"/>
  <c r="H25" i="20"/>
  <c r="I25" i="20"/>
  <c r="D23" i="20"/>
  <c r="O4" i="20"/>
  <c r="F25" i="15"/>
  <c r="F20" i="15"/>
  <c r="E25" i="15"/>
  <c r="E20" i="15"/>
  <c r="D35" i="15"/>
  <c r="C35" i="15"/>
  <c r="C30" i="15"/>
  <c r="B30" i="15"/>
  <c r="B35" i="15"/>
  <c r="D30" i="15"/>
  <c r="D25" i="15"/>
  <c r="D20" i="15"/>
  <c r="B25" i="15"/>
  <c r="C25" i="15"/>
  <c r="C20" i="15"/>
  <c r="B20" i="15"/>
  <c r="O2" i="20"/>
  <c r="C11" i="15"/>
  <c r="C6" i="15"/>
  <c r="B28" i="16"/>
  <c r="B27" i="16"/>
  <c r="B26" i="16"/>
  <c r="J23" i="5"/>
  <c r="D23" i="5"/>
  <c r="G23" i="5"/>
  <c r="J11" i="5"/>
  <c r="J15" i="5"/>
  <c r="J7" i="5"/>
  <c r="D24" i="15"/>
  <c r="D19" i="15"/>
  <c r="C24" i="15"/>
  <c r="C19" i="15"/>
  <c r="B24" i="15"/>
  <c r="B19" i="15"/>
  <c r="E23" i="20"/>
  <c r="E17" i="20"/>
  <c r="C17" i="20"/>
  <c r="C23" i="20"/>
  <c r="C25" i="20" s="1"/>
  <c r="B23" i="20"/>
  <c r="J8" i="20"/>
  <c r="J10" i="20" s="1"/>
  <c r="J2" i="20"/>
  <c r="B17" i="20"/>
  <c r="F2" i="23"/>
  <c r="E11" i="23"/>
  <c r="G8" i="23"/>
  <c r="F8" i="23"/>
  <c r="C2" i="23"/>
  <c r="D8" i="23"/>
  <c r="C8" i="23"/>
  <c r="H8" i="20"/>
  <c r="G8" i="20"/>
  <c r="I2" i="20"/>
  <c r="H2" i="20"/>
  <c r="G2" i="20"/>
  <c r="D2" i="20"/>
  <c r="C2" i="20"/>
  <c r="B2" i="20"/>
  <c r="K8" i="21"/>
  <c r="C8" i="21"/>
  <c r="D8" i="21"/>
  <c r="E8" i="21"/>
  <c r="F8" i="21"/>
  <c r="G8" i="21"/>
  <c r="H8" i="21"/>
  <c r="I8" i="21"/>
  <c r="J8" i="21"/>
  <c r="B8" i="21"/>
  <c r="Q6" i="21"/>
  <c r="Q8" i="21" s="1"/>
  <c r="I7" i="21" s="1"/>
  <c r="B8" i="20"/>
  <c r="D8" i="20"/>
  <c r="C8" i="20"/>
  <c r="D13" i="18"/>
  <c r="D7" i="18"/>
  <c r="B13" i="18"/>
  <c r="A13" i="18"/>
  <c r="B7" i="18"/>
  <c r="A7" i="18"/>
  <c r="C5" i="19"/>
  <c r="C7" i="16"/>
  <c r="C10" i="15"/>
  <c r="B10" i="15"/>
  <c r="B11" i="15" s="1"/>
  <c r="D8" i="15" s="1"/>
  <c r="C5" i="15"/>
  <c r="B5" i="15"/>
  <c r="B6" i="15" s="1"/>
  <c r="D3" i="15" s="1"/>
  <c r="A8" i="13"/>
  <c r="B8" i="13"/>
  <c r="C8" i="13"/>
  <c r="A7" i="12"/>
  <c r="B7" i="12"/>
  <c r="C7" i="12" s="1"/>
  <c r="A7" i="11"/>
  <c r="B7" i="11"/>
  <c r="C7" i="11"/>
  <c r="A13" i="11"/>
  <c r="B13" i="11"/>
  <c r="C13" i="11" s="1"/>
  <c r="A7" i="10"/>
  <c r="C7" i="10" s="1"/>
  <c r="B7" i="10"/>
  <c r="A13" i="10"/>
  <c r="B13" i="10"/>
  <c r="C13" i="10"/>
  <c r="A19" i="10"/>
  <c r="B19" i="10"/>
  <c r="C19" i="10" s="1"/>
  <c r="A25" i="10"/>
  <c r="C25" i="10" s="1"/>
  <c r="B25" i="10"/>
  <c r="A7" i="8"/>
  <c r="A8" i="8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E4" i="6"/>
  <c r="E9" i="6"/>
  <c r="E14" i="6"/>
  <c r="H4" i="6" s="1"/>
  <c r="E21" i="6"/>
  <c r="E26" i="6"/>
  <c r="B7" i="5"/>
  <c r="D83" i="5" s="1"/>
  <c r="D7" i="5"/>
  <c r="F83" i="5" s="1"/>
  <c r="G7" i="5"/>
  <c r="H83" i="5" s="1"/>
  <c r="B11" i="5"/>
  <c r="D11" i="5"/>
  <c r="F87" i="5" s="1"/>
  <c r="G11" i="5"/>
  <c r="H87" i="5" s="1"/>
  <c r="B15" i="5"/>
  <c r="D15" i="5"/>
  <c r="G15" i="5"/>
  <c r="H91" i="5" s="1"/>
  <c r="B19" i="5"/>
  <c r="D19" i="5"/>
  <c r="F95" i="5" s="1"/>
  <c r="B27" i="5"/>
  <c r="D103" i="5" s="1"/>
  <c r="D27" i="5"/>
  <c r="D2" i="4"/>
  <c r="G2" i="4"/>
  <c r="I2" i="4"/>
  <c r="K2" i="4" s="1"/>
  <c r="D8" i="4"/>
  <c r="G8" i="4"/>
  <c r="I8" i="4"/>
  <c r="J3" i="14" l="1"/>
  <c r="Q5" i="29"/>
  <c r="P5" i="29"/>
  <c r="R7" i="29" s="1"/>
  <c r="S7" i="29"/>
  <c r="H59" i="26"/>
  <c r="J59" i="26" s="1"/>
  <c r="L59" i="26" s="1"/>
  <c r="B33" i="27"/>
  <c r="A33" i="27"/>
  <c r="D25" i="16"/>
  <c r="K32" i="26"/>
  <c r="J32" i="26"/>
  <c r="K4" i="26"/>
  <c r="H3" i="25"/>
  <c r="H15" i="25"/>
  <c r="H43" i="25"/>
  <c r="H11" i="25"/>
  <c r="H39" i="25"/>
  <c r="H7" i="25"/>
  <c r="H23" i="25"/>
  <c r="L12" i="20"/>
  <c r="O12" i="20"/>
  <c r="M12" i="20"/>
  <c r="N12" i="20"/>
  <c r="F29" i="15"/>
  <c r="E29" i="15"/>
  <c r="E3" i="15"/>
  <c r="L11" i="5"/>
  <c r="J83" i="5"/>
  <c r="L15" i="5"/>
  <c r="I83" i="5"/>
  <c r="L7" i="5"/>
  <c r="G83" i="5"/>
  <c r="E83" i="5"/>
  <c r="K15" i="5"/>
  <c r="K23" i="5"/>
  <c r="D87" i="5"/>
  <c r="J87" i="5" s="1"/>
  <c r="I87" i="5"/>
  <c r="E87" i="5"/>
  <c r="E11" i="5"/>
  <c r="F91" i="5"/>
  <c r="E91" i="5" s="1"/>
  <c r="I91" i="5"/>
  <c r="D91" i="5"/>
  <c r="J91" i="5" s="1"/>
  <c r="E95" i="5"/>
  <c r="D95" i="5"/>
  <c r="G95" i="5" s="1"/>
  <c r="G103" i="5"/>
  <c r="F103" i="5"/>
  <c r="E103" i="5" s="1"/>
  <c r="F24" i="15"/>
  <c r="F19" i="15"/>
  <c r="F28" i="15" s="1"/>
  <c r="L23" i="5"/>
  <c r="K11" i="5"/>
  <c r="K7" i="5"/>
  <c r="E24" i="15"/>
  <c r="E19" i="15"/>
  <c r="E28" i="15" s="1"/>
  <c r="D10" i="20"/>
  <c r="B11" i="23"/>
  <c r="H10" i="20"/>
  <c r="I10" i="20"/>
  <c r="G10" i="20"/>
  <c r="J13" i="20" s="1"/>
  <c r="C10" i="20"/>
  <c r="B10" i="20"/>
  <c r="I11" i="21"/>
  <c r="G7" i="21"/>
  <c r="G11" i="21" s="1"/>
  <c r="E7" i="21"/>
  <c r="E11" i="21" s="1"/>
  <c r="D7" i="21"/>
  <c r="D11" i="21" s="1"/>
  <c r="K7" i="21"/>
  <c r="K11" i="21" s="1"/>
  <c r="C7" i="21"/>
  <c r="C11" i="21" s="1"/>
  <c r="F7" i="21"/>
  <c r="F11" i="21" s="1"/>
  <c r="B7" i="21"/>
  <c r="J7" i="21"/>
  <c r="J11" i="21" s="1"/>
  <c r="H7" i="21"/>
  <c r="H11" i="21" s="1"/>
  <c r="D7" i="15"/>
  <c r="D2" i="15"/>
  <c r="E15" i="5"/>
  <c r="E2" i="10"/>
  <c r="G4" i="6"/>
  <c r="H11" i="5"/>
  <c r="H7" i="5"/>
  <c r="E27" i="5"/>
  <c r="H21" i="6"/>
  <c r="E7" i="5"/>
  <c r="E19" i="5"/>
  <c r="H15" i="5"/>
  <c r="L4" i="26" l="1"/>
  <c r="L32" i="26"/>
  <c r="E73" i="5"/>
  <c r="E8" i="5"/>
  <c r="H8" i="5"/>
  <c r="M7" i="20"/>
  <c r="E2" i="15"/>
  <c r="L73" i="5"/>
  <c r="K73" i="5"/>
  <c r="G87" i="5"/>
  <c r="E12" i="5" s="1"/>
  <c r="H12" i="5"/>
  <c r="H16" i="5"/>
  <c r="G91" i="5"/>
  <c r="E16" i="5" s="1"/>
  <c r="E20" i="5"/>
  <c r="E28" i="5"/>
  <c r="I13" i="20"/>
  <c r="H13" i="20"/>
  <c r="D13" i="20"/>
  <c r="C13" i="20"/>
  <c r="H73" i="5"/>
  <c r="I12" i="6"/>
  <c r="M4" i="26" l="1"/>
  <c r="P4" i="26" s="1"/>
  <c r="H74" i="5"/>
  <c r="E74" i="5"/>
</calcChain>
</file>

<file path=xl/sharedStrings.xml><?xml version="1.0" encoding="utf-8"?>
<sst xmlns="http://schemas.openxmlformats.org/spreadsheetml/2006/main" count="475" uniqueCount="297">
  <si>
    <t>Pn</t>
  </si>
  <si>
    <t>Eff_beta/Eff_tetra</t>
  </si>
  <si>
    <t>Efficacité tetra</t>
  </si>
  <si>
    <t>Efficacité beta</t>
  </si>
  <si>
    <t>beta</t>
  </si>
  <si>
    <t>gamma</t>
  </si>
  <si>
    <t>Config 2</t>
  </si>
  <si>
    <t>amélioration</t>
  </si>
  <si>
    <t>ratio pic sur bruit</t>
  </si>
  <si>
    <t>background</t>
  </si>
  <si>
    <t>Max norm</t>
  </si>
  <si>
    <t>Max count</t>
  </si>
  <si>
    <t>Time</t>
  </si>
  <si>
    <t>Eff</t>
  </si>
  <si>
    <t>N</t>
  </si>
  <si>
    <t>Config 1</t>
  </si>
  <si>
    <t>Intégrale</t>
  </si>
  <si>
    <t>Valeur</t>
  </si>
  <si>
    <t>Neutron-conditionné</t>
  </si>
  <si>
    <t>Beta-conditionné</t>
  </si>
  <si>
    <t>Non conditionné</t>
  </si>
  <si>
    <t>Galium 82 (RUN121)</t>
  </si>
  <si>
    <t>single</t>
  </si>
  <si>
    <t>Raie à 1348</t>
  </si>
  <si>
    <t>neutron</t>
  </si>
  <si>
    <t>N_beta</t>
  </si>
  <si>
    <t>N_neutron_RTOT</t>
  </si>
  <si>
    <t>eff_beta</t>
  </si>
  <si>
    <t>eff_neutron</t>
  </si>
  <si>
    <t>Raie à 711</t>
  </si>
  <si>
    <t>b</t>
  </si>
  <si>
    <t>a</t>
  </si>
  <si>
    <t>E (canal)</t>
  </si>
  <si>
    <t>err_E</t>
  </si>
  <si>
    <t>E (keV)</t>
  </si>
  <si>
    <t>RUN 58</t>
  </si>
  <si>
    <t>0.3-2-1-?</t>
  </si>
  <si>
    <t>84Ga</t>
  </si>
  <si>
    <t>0.3-2-1-720</t>
  </si>
  <si>
    <t>0.5-3-3-500</t>
  </si>
  <si>
    <t>82Ga</t>
  </si>
  <si>
    <t>Arrêt prématuré pour mettre des cycles adaptées au 82Ga.</t>
  </si>
  <si>
    <t>Perte des e-, arret de la run.</t>
  </si>
  <si>
    <t>0.3-2-1-704</t>
  </si>
  <si>
    <t>Lumières allumées pendant 5mn.</t>
  </si>
  <si>
    <t>Arret des mesures pour reprendre la faisceaulogie et les laser. Court arret des e- pendant la run.</t>
  </si>
  <si>
    <t>Plusieurs arrêts e- pendant la run.</t>
  </si>
  <si>
    <t>Changement des temps de cycles.</t>
  </si>
  <si>
    <t>0.1-2-1-720</t>
  </si>
  <si>
    <t>Run 82Ga pour comparer aux productions du début, on a perdu un facteur 10.</t>
  </si>
  <si>
    <t>0.1-2-1-186</t>
  </si>
  <si>
    <t>0.1-2-1-137</t>
  </si>
  <si>
    <t>0.1-1-1-88</t>
  </si>
  <si>
    <t>0.1-1-1-?</t>
  </si>
  <si>
    <t>Etalonnage COeCO</t>
  </si>
  <si>
    <t>Comptage beta : 2000 max. Arret de l'Argent car il n y a plus de colorants pour les laser, ce qui peut expliquer le faible taux de comptage depuis le début.</t>
  </si>
  <si>
    <t>0.5-2-2-225</t>
  </si>
  <si>
    <t>125Ag</t>
  </si>
  <si>
    <t>Comptage beta : 2000 max</t>
  </si>
  <si>
    <t>0.5-2-2-700</t>
  </si>
  <si>
    <t>CRAP</t>
  </si>
  <si>
    <t>0.5-2-1.5-?</t>
  </si>
  <si>
    <t>134In / 132In</t>
  </si>
  <si>
    <t>La CF2 n'était pas enlevée, run de fond.</t>
  </si>
  <si>
    <t>0.5-2-1-?</t>
  </si>
  <si>
    <t>134In</t>
  </si>
  <si>
    <t>Laser OFF pour tous les Indiums</t>
  </si>
  <si>
    <t>0.5-2-2-200</t>
  </si>
  <si>
    <t>132In / 130In</t>
  </si>
  <si>
    <t>Taux de comptage à trop baissé, arrêt de la run.</t>
  </si>
  <si>
    <t>0.5-2-2-97</t>
  </si>
  <si>
    <t>Comptage beta : 1500 max. Court arrêt des e-.</t>
  </si>
  <si>
    <t>Panorama à freeze pendant la run. Court arret des e- pendant la run.</t>
  </si>
  <si>
    <t>Comptage beta : 4000 max</t>
  </si>
  <si>
    <t>On ne voit pas d'Argent, problème avec le laser vert, trop faible.</t>
  </si>
  <si>
    <t>124Ag</t>
  </si>
  <si>
    <t>Arrêt de la run en avance car perte des e-.</t>
  </si>
  <si>
    <t>0.5-2-2-333</t>
  </si>
  <si>
    <t>Le YAG était mal réglé , il a été remis pendant la run.</t>
  </si>
  <si>
    <t>Changement des fentes TETRA pendant la run. Les temps R32, R43 et R44 sont bizarres, peut être parce que j'ai débranché les 2 cellules au comportement bizarre. Je décide de les rebrancher à la fin de la run. La run finie plus tôt que prévu.</t>
  </si>
  <si>
    <t>0.5-2-2-?</t>
  </si>
  <si>
    <t>Très peu d'Argent, beaucoup d'Indium. François touche au laser pendant la run.</t>
  </si>
  <si>
    <t>0.5-2-2-112</t>
  </si>
  <si>
    <t>123Ag</t>
  </si>
  <si>
    <t>Laser OFF</t>
  </si>
  <si>
    <t>0.5-2-2-90</t>
  </si>
  <si>
    <t>Beam tuning</t>
  </si>
  <si>
    <t>Run potentiellement utilisable</t>
  </si>
  <si>
    <t>Calibration</t>
  </si>
  <si>
    <t>Run presque parfaite</t>
  </si>
  <si>
    <t>Commentaire</t>
  </si>
  <si>
    <t>Beam intensity (uA)</t>
  </si>
  <si>
    <t>tBgd-tCol-tDec-Ncycle (s)</t>
  </si>
  <si>
    <t>Run parfaite</t>
  </si>
  <si>
    <t>Utile à l'analyse</t>
  </si>
  <si>
    <t>A partir de la run 115 COeCO compte aussi</t>
  </si>
  <si>
    <t>Cellules R3C11 et R4C4 débranchés entre 58 et 65 compris car elles comptaient énormement à basse énergie</t>
  </si>
  <si>
    <t>Runs 58 à 125</t>
  </si>
  <si>
    <t>Rubidium 100</t>
  </si>
  <si>
    <t>Rubidium 98</t>
  </si>
  <si>
    <t>140,141</t>
  </si>
  <si>
    <t>Rubidium 96</t>
  </si>
  <si>
    <t>Indium 134/132</t>
  </si>
  <si>
    <t>Indium 130/132</t>
  </si>
  <si>
    <t xml:space="preserve"> </t>
  </si>
  <si>
    <t>87,88,89,91,92,93,94,95,96,97,98,99,100,101,102,103,104,105,106,107,108,109,110,111,112,113,114,115,116,117118,119,122,123,124</t>
  </si>
  <si>
    <t>Galium 84</t>
  </si>
  <si>
    <t>135,136</t>
  </si>
  <si>
    <t>Galium 83</t>
  </si>
  <si>
    <t>90,121</t>
  </si>
  <si>
    <t>Galium 82</t>
  </si>
  <si>
    <t>137,138</t>
  </si>
  <si>
    <t>Galium 81</t>
  </si>
  <si>
    <t>130,131</t>
  </si>
  <si>
    <t>18, 25</t>
  </si>
  <si>
    <t>Galium 80</t>
  </si>
  <si>
    <t>23, 24</t>
  </si>
  <si>
    <t>Galium 79</t>
  </si>
  <si>
    <t>71,72,73,74,75,76,77,78,84,85</t>
  </si>
  <si>
    <t>Argent 125</t>
  </si>
  <si>
    <t>Argent 124</t>
  </si>
  <si>
    <t>61,62,63</t>
  </si>
  <si>
    <t>Argent 123</t>
  </si>
  <si>
    <t>Argent 122</t>
  </si>
  <si>
    <t>45, 51</t>
  </si>
  <si>
    <t>Argent 121</t>
  </si>
  <si>
    <t>Argent 120</t>
  </si>
  <si>
    <t>Argent 119</t>
  </si>
  <si>
    <t>Argent 118</t>
  </si>
  <si>
    <t>40, 41</t>
  </si>
  <si>
    <t>32,33,36</t>
  </si>
  <si>
    <t>Argent 114</t>
  </si>
  <si>
    <t>128,134</t>
  </si>
  <si>
    <t>Calibration COeCO</t>
  </si>
  <si>
    <t>Reglage beta</t>
  </si>
  <si>
    <t>126,127,143</t>
  </si>
  <si>
    <t>5,10</t>
  </si>
  <si>
    <t>Reglage faisceau</t>
  </si>
  <si>
    <t>129,132,133</t>
  </si>
  <si>
    <t>70,80,81,120</t>
  </si>
  <si>
    <t xml:space="preserve"> 46, 47, 49, 50, 53, 54</t>
  </si>
  <si>
    <t>11, 12, 13, 14, 16, 34, 35</t>
  </si>
  <si>
    <t>Crap</t>
  </si>
  <si>
    <t>59,60,82</t>
  </si>
  <si>
    <t>2, 4, 26</t>
  </si>
  <si>
    <t>Background</t>
  </si>
  <si>
    <t>3,8,9,15,27, 31</t>
  </si>
  <si>
    <t>Calibration sans générateur</t>
  </si>
  <si>
    <t>1,6,7,17</t>
  </si>
  <si>
    <t>Calibration avec générateur</t>
  </si>
  <si>
    <t>Runs 126 à 144</t>
  </si>
  <si>
    <t>Runs 37 à 57</t>
  </si>
  <si>
    <t>Runs 1 à 36</t>
  </si>
  <si>
    <t>Semaine 3 (COeCO)</t>
  </si>
  <si>
    <t>Semaine 3 (TETRA)</t>
  </si>
  <si>
    <t>Semaine 2 (Production Argent)</t>
  </si>
  <si>
    <t>Semaine 1 (Production Galium)</t>
  </si>
  <si>
    <t>Total number of runs</t>
  </si>
  <si>
    <t> 500.22</t>
  </si>
  <si>
    <t>BC</t>
  </si>
  <si>
    <t>ES</t>
  </si>
  <si>
    <t> 263.597</t>
  </si>
  <si>
    <t> 263.485</t>
  </si>
  <si>
    <t>Nbeta</t>
  </si>
  <si>
    <t>Nneutron</t>
  </si>
  <si>
    <t>TetraCoinc windows 0-200 us</t>
  </si>
  <si>
    <t xml:space="preserve">Moyenne </t>
  </si>
  <si>
    <t>Tetra-cond</t>
  </si>
  <si>
    <t>Beta-cond</t>
  </si>
  <si>
    <t>All_runs</t>
  </si>
  <si>
    <t>N beta</t>
  </si>
  <si>
    <t>N neutron</t>
  </si>
  <si>
    <t>Eff beta</t>
  </si>
  <si>
    <t>Eff tetra</t>
  </si>
  <si>
    <t>Pn connu</t>
  </si>
  <si>
    <t>Pn Calculé</t>
  </si>
  <si>
    <t>Eff beta calculée</t>
  </si>
  <si>
    <t>Ici je cherche Pn grace aux mesure des deux eff</t>
  </si>
  <si>
    <t>Ici je cherche eff beta en me basant sur Pn connu et mesure eff neutron</t>
  </si>
  <si>
    <t>Courbe activité beta moche</t>
  </si>
  <si>
    <t>20, 29</t>
  </si>
  <si>
    <t>64,65,66,67,68,69</t>
  </si>
  <si>
    <t>beta-gamma</t>
  </si>
  <si>
    <t>gamma single</t>
  </si>
  <si>
    <t>eff beta</t>
  </si>
  <si>
    <t>Moyenne</t>
  </si>
  <si>
    <t>Données corrompues</t>
  </si>
  <si>
    <t>BetaCoinc window 1.14-1.59 us</t>
  </si>
  <si>
    <t>AllBut97.root</t>
  </si>
  <si>
    <t>delta t</t>
  </si>
  <si>
    <t>A0</t>
  </si>
  <si>
    <t>t</t>
  </si>
  <si>
    <t>T1/2</t>
  </si>
  <si>
    <t>Ndec</t>
  </si>
  <si>
    <t>A</t>
  </si>
  <si>
    <t>Aire</t>
  </si>
  <si>
    <t>Taux</t>
  </si>
  <si>
    <t>Nthéo</t>
  </si>
  <si>
    <t>Ndét</t>
  </si>
  <si>
    <t>Energie littérature</t>
  </si>
  <si>
    <t>Efficiency</t>
  </si>
  <si>
    <t>Gaussienne</t>
  </si>
  <si>
    <t>Ntrue</t>
  </si>
  <si>
    <t>Rapport</t>
  </si>
  <si>
    <t>beta-neutron-gamma</t>
  </si>
  <si>
    <t>NBeta84Ga</t>
  </si>
  <si>
    <t>Iabs pour 100 82Ga</t>
  </si>
  <si>
    <t>Iabs pour 100 84Ga</t>
  </si>
  <si>
    <t>P2n</t>
  </si>
  <si>
    <t>Effn</t>
  </si>
  <si>
    <t>Intensitées relatives</t>
  </si>
  <si>
    <t>Intensitées absolues</t>
  </si>
  <si>
    <t>Surface</t>
  </si>
  <si>
    <t>N2n</t>
  </si>
  <si>
    <t>Eff n</t>
  </si>
  <si>
    <t>NBeta82Ga</t>
  </si>
  <si>
    <t>Iabs 1348</t>
  </si>
  <si>
    <t>AllRecalibrated</t>
  </si>
  <si>
    <t>Beta-Neutron cond</t>
  </si>
  <si>
    <t>Beta cond</t>
  </si>
  <si>
    <t>Eff neutron</t>
  </si>
  <si>
    <t>Neutron cond</t>
  </si>
  <si>
    <t>Double-conditionné</t>
  </si>
  <si>
    <t>P1n</t>
  </si>
  <si>
    <t>sigma</t>
  </si>
  <si>
    <t>termes incer</t>
  </si>
  <si>
    <t>Nb</t>
  </si>
  <si>
    <t>Nn</t>
  </si>
  <si>
    <t>Effb</t>
  </si>
  <si>
    <t>Termes incertitude</t>
  </si>
  <si>
    <t>Sigma</t>
  </si>
  <si>
    <t>Nsingle</t>
  </si>
  <si>
    <t>sigmaNsingle</t>
  </si>
  <si>
    <t>Nbetacond</t>
  </si>
  <si>
    <t>sigmaNbetacond</t>
  </si>
  <si>
    <t>errorterm1</t>
  </si>
  <si>
    <t>errorterm2</t>
  </si>
  <si>
    <t>Nneutcond</t>
  </si>
  <si>
    <t>sigmaNneutcond</t>
  </si>
  <si>
    <t>syserroreff</t>
  </si>
  <si>
    <t>sigmaeffstat</t>
  </si>
  <si>
    <t>sigmaeffstatmoy</t>
  </si>
  <si>
    <t>Values</t>
  </si>
  <si>
    <t>Errors</t>
  </si>
  <si>
    <t>sqrtN</t>
  </si>
  <si>
    <t>errorfitpara</t>
  </si>
  <si>
    <t>BETACOND</t>
  </si>
  <si>
    <t>SINGLE</t>
  </si>
  <si>
    <t>EFF</t>
  </si>
  <si>
    <t>FIT 1</t>
  </si>
  <si>
    <t>FIT 2</t>
  </si>
  <si>
    <t>FIT 3</t>
  </si>
  <si>
    <t>Error</t>
  </si>
  <si>
    <t>Error tot</t>
  </si>
  <si>
    <t>TETRACOND</t>
  </si>
  <si>
    <t>COND</t>
  </si>
  <si>
    <t>Ntetracond</t>
  </si>
  <si>
    <t>effbeta</t>
  </si>
  <si>
    <t>effbeta mean</t>
  </si>
  <si>
    <t>efftetra mean</t>
  </si>
  <si>
    <t>efftetra</t>
  </si>
  <si>
    <t>853-873.333</t>
  </si>
  <si>
    <t>fenetre</t>
  </si>
  <si>
    <t>1-10 coinc</t>
  </si>
  <si>
    <t>8-10 coinc</t>
  </si>
  <si>
    <t>4-10 coinc</t>
  </si>
  <si>
    <t>para</t>
  </si>
  <si>
    <t>inte</t>
  </si>
  <si>
    <t>0.1-10 coinc</t>
  </si>
  <si>
    <t>10-10 coinc</t>
  </si>
  <si>
    <t>ancien code : 10</t>
  </si>
  <si>
    <t>50-100 coinc</t>
  </si>
  <si>
    <t>doublet</t>
  </si>
  <si>
    <t>Para</t>
  </si>
  <si>
    <t>ErrorN</t>
  </si>
  <si>
    <t>R</t>
  </si>
  <si>
    <t>ErrorR</t>
  </si>
  <si>
    <t>Rmoy</t>
  </si>
  <si>
    <t>ErrorRmoy</t>
  </si>
  <si>
    <t>BetaCond</t>
  </si>
  <si>
    <t>NeutronCond</t>
  </si>
  <si>
    <t>BetaNeutronCond</t>
  </si>
  <si>
    <t>EffBeta</t>
  </si>
  <si>
    <t>EffTetra</t>
  </si>
  <si>
    <t>ErrorEffBeta</t>
  </si>
  <si>
    <t>ErrorEffTetra</t>
  </si>
  <si>
    <t>R2/R1</t>
  </si>
  <si>
    <t>R3/R1</t>
  </si>
  <si>
    <t>R4/R1</t>
  </si>
  <si>
    <t>R3/R2</t>
  </si>
  <si>
    <t>R4/R2</t>
  </si>
  <si>
    <t>R4/R3</t>
  </si>
  <si>
    <t>Eff b</t>
  </si>
  <si>
    <t>Termes incertitude &lt;n&gt;*</t>
  </si>
  <si>
    <t>Termes incertitude p1n</t>
  </si>
  <si>
    <t>relat to 247</t>
  </si>
  <si>
    <t>&lt;n&gt;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</si>
</sst>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)_ ;_ * \(#,##0.00\)_ ;_ * &quot;-&quot;??_)_ ;_ @_ "/>
    <numFmt numFmtId="164" formatCode="0.000"/>
    <numFmt numFmtId="165" formatCode="0.0000"/>
    <numFmt numFmtId="166" formatCode="0.00000"/>
    <numFmt numFmtId="167" formatCode="0.000000"/>
    <numFmt numFmtId="168" formatCode="0.0"/>
    <numFmt numFmtId="169" formatCode="0E+00"/>
  </numFmts>
  <fonts count="22">
    <font>
      <sz val="14"/>
      <color theme="1"/>
      <name val="Menlo"/>
      <family val="2"/>
    </font>
    <font>
      <sz val="12"/>
      <color theme="1"/>
      <name val="Calibri"/>
      <family val="2"/>
      <scheme val="minor"/>
    </font>
    <font>
      <sz val="14"/>
      <color theme="1"/>
      <name val="Menlo Regular"/>
    </font>
    <font>
      <b/>
      <sz val="14"/>
      <color theme="1"/>
      <name val="Menlo Regular"/>
    </font>
    <font>
      <sz val="14"/>
      <color rgb="FF000000"/>
      <name val="Menlo"/>
      <family val="2"/>
    </font>
    <font>
      <b/>
      <sz val="16"/>
      <color theme="1"/>
      <name val="Menlo Regular"/>
    </font>
    <font>
      <b/>
      <sz val="20"/>
      <color rgb="FFFF0000"/>
      <name val="Menlo Regula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5" tint="0.3999755851924192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4"/>
      <color rgb="FF000000"/>
      <name val="Menlo"/>
      <family val="2"/>
    </font>
    <font>
      <b/>
      <sz val="18"/>
      <color theme="1"/>
      <name val="Menlo Regular"/>
    </font>
    <font>
      <b/>
      <sz val="14"/>
      <color theme="1"/>
      <name val="Menlo"/>
      <family val="2"/>
    </font>
    <font>
      <sz val="14"/>
      <color rgb="FF000000"/>
      <name val="Menlo Regular"/>
    </font>
    <font>
      <b/>
      <i/>
      <sz val="14"/>
      <color theme="1"/>
      <name val="Menlo Regular"/>
    </font>
    <font>
      <b/>
      <sz val="14"/>
      <color rgb="FFFF0000"/>
      <name val="Menlo"/>
      <family val="2"/>
    </font>
    <font>
      <b/>
      <sz val="14"/>
      <color rgb="FFFF0000"/>
      <name val="Menlo Regular"/>
    </font>
    <font>
      <b/>
      <sz val="16"/>
      <color rgb="FFFF0000"/>
      <name val="Menlo Regular"/>
    </font>
    <font>
      <sz val="12"/>
      <color theme="1"/>
      <name val="Menlo Regular"/>
    </font>
    <font>
      <sz val="14"/>
      <name val="Menlo"/>
      <family val="2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93">
    <xf numFmtId="0" fontId="0" fillId="0" borderId="0" xfId="0"/>
    <xf numFmtId="0" fontId="1" fillId="0" borderId="0" xfId="1"/>
    <xf numFmtId="2" fontId="2" fillId="0" borderId="0" xfId="1" applyNumberFormat="1" applyFont="1"/>
    <xf numFmtId="0" fontId="2" fillId="0" borderId="0" xfId="1" applyFont="1"/>
    <xf numFmtId="2" fontId="1" fillId="0" borderId="0" xfId="1" applyNumberFormat="1"/>
    <xf numFmtId="0" fontId="3" fillId="0" borderId="0" xfId="1" applyFont="1"/>
    <xf numFmtId="0" fontId="4" fillId="0" borderId="0" xfId="1" applyFont="1"/>
    <xf numFmtId="11" fontId="4" fillId="0" borderId="0" xfId="1" applyNumberFormat="1" applyFont="1"/>
    <xf numFmtId="2" fontId="4" fillId="0" borderId="0" xfId="1" applyNumberFormat="1" applyFont="1"/>
    <xf numFmtId="0" fontId="4" fillId="3" borderId="0" xfId="1" applyFont="1" applyFill="1"/>
    <xf numFmtId="0" fontId="2" fillId="3" borderId="0" xfId="1" applyFont="1" applyFill="1"/>
    <xf numFmtId="11" fontId="1" fillId="0" borderId="0" xfId="1" applyNumberFormat="1"/>
    <xf numFmtId="0" fontId="7" fillId="0" borderId="0" xfId="1" applyFont="1"/>
    <xf numFmtId="0" fontId="8" fillId="0" borderId="0" xfId="1" applyFont="1"/>
    <xf numFmtId="0" fontId="9" fillId="0" borderId="0" xfId="1" applyFont="1"/>
    <xf numFmtId="0" fontId="10" fillId="6" borderId="0" xfId="1" applyFont="1" applyFill="1"/>
    <xf numFmtId="0" fontId="1" fillId="2" borderId="0" xfId="1" applyFill="1"/>
    <xf numFmtId="0" fontId="1" fillId="4" borderId="0" xfId="1" applyFill="1"/>
    <xf numFmtId="0" fontId="1" fillId="7" borderId="0" xfId="1" applyFill="1"/>
    <xf numFmtId="0" fontId="11" fillId="0" borderId="0" xfId="1" applyFont="1"/>
    <xf numFmtId="11" fontId="12" fillId="0" borderId="0" xfId="1" applyNumberFormat="1" applyFont="1"/>
    <xf numFmtId="0" fontId="13" fillId="0" borderId="0" xfId="1" applyFont="1"/>
    <xf numFmtId="0" fontId="4" fillId="0" borderId="0" xfId="0" applyFont="1"/>
    <xf numFmtId="11" fontId="4" fillId="0" borderId="0" xfId="0" applyNumberFormat="1" applyFont="1"/>
    <xf numFmtId="164" fontId="4" fillId="0" borderId="0" xfId="0" applyNumberFormat="1" applyFont="1"/>
    <xf numFmtId="164" fontId="0" fillId="0" borderId="0" xfId="0" applyNumberFormat="1"/>
    <xf numFmtId="0" fontId="14" fillId="0" borderId="0" xfId="0" applyFont="1"/>
    <xf numFmtId="17" fontId="3" fillId="0" borderId="0" xfId="1" applyNumberFormat="1" applyFont="1"/>
    <xf numFmtId="0" fontId="3" fillId="7" borderId="0" xfId="1" applyFont="1" applyFill="1"/>
    <xf numFmtId="0" fontId="3" fillId="6" borderId="0" xfId="1" applyFont="1" applyFill="1"/>
    <xf numFmtId="0" fontId="3" fillId="4" borderId="0" xfId="1" applyFont="1" applyFill="1"/>
    <xf numFmtId="0" fontId="3" fillId="2" borderId="0" xfId="1" applyFont="1" applyFill="1"/>
    <xf numFmtId="0" fontId="15" fillId="0" borderId="0" xfId="1" applyFont="1"/>
    <xf numFmtId="0" fontId="3" fillId="5" borderId="0" xfId="1" applyFont="1" applyFill="1"/>
    <xf numFmtId="0" fontId="16" fillId="0" borderId="0" xfId="1" applyFont="1"/>
    <xf numFmtId="0" fontId="17" fillId="0" borderId="0" xfId="0" applyFont="1"/>
    <xf numFmtId="2" fontId="4" fillId="0" borderId="0" xfId="0" applyNumberFormat="1" applyFont="1"/>
    <xf numFmtId="0" fontId="18" fillId="0" borderId="0" xfId="1" applyFont="1" applyAlignment="1">
      <alignment horizontal="center" vertical="center"/>
    </xf>
    <xf numFmtId="0" fontId="18" fillId="0" borderId="0" xfId="1" applyFont="1" applyAlignment="1">
      <alignment horizontal="center"/>
    </xf>
    <xf numFmtId="2" fontId="0" fillId="0" borderId="0" xfId="0" applyNumberFormat="1"/>
    <xf numFmtId="2" fontId="6" fillId="0" borderId="0" xfId="1" applyNumberFormat="1" applyFont="1"/>
    <xf numFmtId="2" fontId="3" fillId="0" borderId="0" xfId="1" applyNumberFormat="1" applyFont="1"/>
    <xf numFmtId="2" fontId="5" fillId="7" borderId="0" xfId="1" applyNumberFormat="1" applyFont="1" applyFill="1"/>
    <xf numFmtId="2" fontId="2" fillId="7" borderId="0" xfId="1" applyNumberFormat="1" applyFont="1" applyFill="1"/>
    <xf numFmtId="2" fontId="3" fillId="7" borderId="0" xfId="1" applyNumberFormat="1" applyFont="1" applyFill="1"/>
    <xf numFmtId="2" fontId="4" fillId="7" borderId="0" xfId="1" applyNumberFormat="1" applyFont="1" applyFill="1"/>
    <xf numFmtId="2" fontId="4" fillId="7" borderId="0" xfId="0" applyNumberFormat="1" applyFont="1" applyFill="1"/>
    <xf numFmtId="2" fontId="5" fillId="8" borderId="0" xfId="1" applyNumberFormat="1" applyFont="1" applyFill="1"/>
    <xf numFmtId="2" fontId="2" fillId="8" borderId="0" xfId="1" applyNumberFormat="1" applyFont="1" applyFill="1"/>
    <xf numFmtId="2" fontId="3" fillId="8" borderId="0" xfId="1" applyNumberFormat="1" applyFont="1" applyFill="1"/>
    <xf numFmtId="2" fontId="4" fillId="8" borderId="0" xfId="0" applyNumberFormat="1" applyFont="1" applyFill="1"/>
    <xf numFmtId="2" fontId="5" fillId="9" borderId="0" xfId="1" applyNumberFormat="1" applyFont="1" applyFill="1"/>
    <xf numFmtId="2" fontId="2" fillId="9" borderId="0" xfId="1" applyNumberFormat="1" applyFont="1" applyFill="1"/>
    <xf numFmtId="2" fontId="3" fillId="9" borderId="0" xfId="1" applyNumberFormat="1" applyFont="1" applyFill="1"/>
    <xf numFmtId="2" fontId="4" fillId="9" borderId="0" xfId="0" applyNumberFormat="1" applyFont="1" applyFill="1"/>
    <xf numFmtId="2" fontId="5" fillId="0" borderId="0" xfId="1" applyNumberFormat="1" applyFont="1"/>
    <xf numFmtId="164" fontId="2" fillId="8" borderId="0" xfId="1" applyNumberFormat="1" applyFont="1" applyFill="1"/>
    <xf numFmtId="164" fontId="2" fillId="9" borderId="0" xfId="1" applyNumberFormat="1" applyFont="1" applyFill="1"/>
    <xf numFmtId="166" fontId="0" fillId="0" borderId="0" xfId="0" applyNumberFormat="1"/>
    <xf numFmtId="166" fontId="14" fillId="0" borderId="0" xfId="0" applyNumberFormat="1" applyFont="1"/>
    <xf numFmtId="0" fontId="19" fillId="0" borderId="0" xfId="1" applyFont="1"/>
    <xf numFmtId="11" fontId="0" fillId="0" borderId="0" xfId="0" applyNumberFormat="1"/>
    <xf numFmtId="165" fontId="0" fillId="0" borderId="0" xfId="0" applyNumberFormat="1"/>
    <xf numFmtId="167" fontId="0" fillId="0" borderId="0" xfId="0" applyNumberFormat="1"/>
    <xf numFmtId="165" fontId="4" fillId="0" borderId="0" xfId="0" applyNumberFormat="1" applyFont="1"/>
    <xf numFmtId="167" fontId="0" fillId="10" borderId="0" xfId="0" applyNumberFormat="1" applyFill="1"/>
    <xf numFmtId="0" fontId="0" fillId="10" borderId="0" xfId="0" applyFill="1"/>
    <xf numFmtId="0" fontId="4" fillId="10" borderId="0" xfId="0" applyFont="1" applyFill="1"/>
    <xf numFmtId="2" fontId="0" fillId="10" borderId="0" xfId="0" applyNumberFormat="1" applyFill="1"/>
    <xf numFmtId="164" fontId="0" fillId="10" borderId="0" xfId="0" applyNumberFormat="1" applyFill="1"/>
    <xf numFmtId="11" fontId="14" fillId="0" borderId="0" xfId="0" applyNumberFormat="1" applyFont="1"/>
    <xf numFmtId="11" fontId="4" fillId="8" borderId="0" xfId="0" applyNumberFormat="1" applyFont="1" applyFill="1"/>
    <xf numFmtId="11" fontId="4" fillId="9" borderId="0" xfId="0" applyNumberFormat="1" applyFont="1" applyFill="1"/>
    <xf numFmtId="2" fontId="5" fillId="2" borderId="0" xfId="1" applyNumberFormat="1" applyFont="1" applyFill="1"/>
    <xf numFmtId="2" fontId="2" fillId="2" borderId="0" xfId="1" applyNumberFormat="1" applyFont="1" applyFill="1"/>
    <xf numFmtId="2" fontId="3" fillId="2" borderId="0" xfId="1" applyNumberFormat="1" applyFont="1" applyFill="1"/>
    <xf numFmtId="0" fontId="4" fillId="2" borderId="0" xfId="0" applyFont="1" applyFill="1"/>
    <xf numFmtId="0" fontId="12" fillId="0" borderId="0" xfId="0" applyFont="1"/>
    <xf numFmtId="0" fontId="12" fillId="0" borderId="0" xfId="1" applyFont="1"/>
    <xf numFmtId="165" fontId="2" fillId="0" borderId="0" xfId="1" applyNumberFormat="1" applyFont="1"/>
    <xf numFmtId="11" fontId="2" fillId="0" borderId="0" xfId="1" applyNumberFormat="1" applyFont="1"/>
    <xf numFmtId="0" fontId="20" fillId="0" borderId="0" xfId="1" applyFont="1"/>
    <xf numFmtId="11" fontId="15" fillId="0" borderId="0" xfId="0" applyNumberFormat="1" applyFont="1"/>
    <xf numFmtId="0" fontId="15" fillId="0" borderId="0" xfId="0" applyFont="1"/>
    <xf numFmtId="11" fontId="15" fillId="0" borderId="0" xfId="1" applyNumberFormat="1" applyFont="1"/>
    <xf numFmtId="2" fontId="15" fillId="0" borderId="0" xfId="1" applyNumberFormat="1" applyFont="1"/>
    <xf numFmtId="164" fontId="21" fillId="0" borderId="0" xfId="0" applyNumberFormat="1" applyFont="1"/>
    <xf numFmtId="0" fontId="0" fillId="11" borderId="0" xfId="0" applyFill="1"/>
    <xf numFmtId="168" fontId="0" fillId="0" borderId="0" xfId="0" applyNumberFormat="1"/>
    <xf numFmtId="169" fontId="0" fillId="0" borderId="0" xfId="0" applyNumberFormat="1"/>
    <xf numFmtId="16" fontId="0" fillId="0" borderId="0" xfId="0" applyNumberFormat="1"/>
    <xf numFmtId="165" fontId="1" fillId="0" borderId="0" xfId="1" applyNumberFormat="1"/>
    <xf numFmtId="10" fontId="2" fillId="0" borderId="0" xfId="1" applyNumberFormat="1" applyFont="1"/>
  </cellXfs>
  <cellStyles count="3">
    <cellStyle name="Milliers 2" xfId="2" xr:uid="{16FDB774-F211-F14E-9453-8C6A1F24C04D}"/>
    <cellStyle name="Normal" xfId="0" builtinId="0"/>
    <cellStyle name="Normal 2" xfId="1" xr:uid="{F01D0E81-8BA0-9840-B460-DB2E794946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DE/E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3.7320062795775294E-2"/>
          <c:y val="3.6881562762809288E-2"/>
          <c:w val="0.947744102587191"/>
          <c:h val="0.9305161413159496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'eff82 bis'!$R$3:$R$13</c:f>
              <c:numCache>
                <c:formatCode>General</c:formatCode>
                <c:ptCount val="11"/>
                <c:pt idx="0">
                  <c:v>2.7231584646856707E-2</c:v>
                </c:pt>
                <c:pt idx="1">
                  <c:v>2.2881497997101596E-2</c:v>
                </c:pt>
                <c:pt idx="2">
                  <c:v>3.3955965051469278E-2</c:v>
                </c:pt>
                <c:pt idx="3">
                  <c:v>2.1242820641935053E-2</c:v>
                </c:pt>
                <c:pt idx="4">
                  <c:v>3.2641345614094888E-2</c:v>
                </c:pt>
                <c:pt idx="5">
                  <c:v>3.1855664551966943E-2</c:v>
                </c:pt>
                <c:pt idx="6">
                  <c:v>4.904872797292683E-2</c:v>
                </c:pt>
                <c:pt idx="7">
                  <c:v>2.7167795040320138E-2</c:v>
                </c:pt>
                <c:pt idx="8">
                  <c:v>2.2881557896859833E-2</c:v>
                </c:pt>
                <c:pt idx="9">
                  <c:v>1.6120395649918115E-2</c:v>
                </c:pt>
                <c:pt idx="10">
                  <c:v>1.8658794813329129E-2</c:v>
                </c:pt>
              </c:numCache>
            </c:numRef>
          </c:xVal>
          <c:yVal>
            <c:numRef>
              <c:f>'eff82 bis'!$P$3:$P$13</c:f>
              <c:numCache>
                <c:formatCode>General</c:formatCode>
                <c:ptCount val="11"/>
                <c:pt idx="0">
                  <c:v>2.229006829760254E-3</c:v>
                </c:pt>
                <c:pt idx="1">
                  <c:v>1.8888685281074769E-3</c:v>
                </c:pt>
                <c:pt idx="2">
                  <c:v>3.13865492443765E-3</c:v>
                </c:pt>
                <c:pt idx="3">
                  <c:v>1.8227099813630681E-3</c:v>
                </c:pt>
                <c:pt idx="4">
                  <c:v>2.8083902642760646E-3</c:v>
                </c:pt>
                <c:pt idx="5">
                  <c:v>2.6085726869028002E-3</c:v>
                </c:pt>
                <c:pt idx="6">
                  <c:v>4.429295395822608E-3</c:v>
                </c:pt>
                <c:pt idx="7">
                  <c:v>1.8516060818540799E-3</c:v>
                </c:pt>
                <c:pt idx="8">
                  <c:v>1.9326061005874408E-3</c:v>
                </c:pt>
                <c:pt idx="9">
                  <c:v>1.0882823300728667E-3</c:v>
                </c:pt>
                <c:pt idx="10">
                  <c:v>1.7318437708890373E-3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BD8-4C48-8B99-8E4753A6552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'eff82 bis'!$R$3:$R$13</c:f>
              <c:numCache>
                <c:formatCode>General</c:formatCode>
                <c:ptCount val="11"/>
                <c:pt idx="0">
                  <c:v>2.7231584646856707E-2</c:v>
                </c:pt>
                <c:pt idx="1">
                  <c:v>2.2881497997101596E-2</c:v>
                </c:pt>
                <c:pt idx="2">
                  <c:v>3.3955965051469278E-2</c:v>
                </c:pt>
                <c:pt idx="3">
                  <c:v>2.1242820641935053E-2</c:v>
                </c:pt>
                <c:pt idx="4">
                  <c:v>3.2641345614094888E-2</c:v>
                </c:pt>
                <c:pt idx="5">
                  <c:v>3.1855664551966943E-2</c:v>
                </c:pt>
                <c:pt idx="6">
                  <c:v>4.904872797292683E-2</c:v>
                </c:pt>
                <c:pt idx="7">
                  <c:v>2.7167795040320138E-2</c:v>
                </c:pt>
                <c:pt idx="8">
                  <c:v>2.2881557896859833E-2</c:v>
                </c:pt>
                <c:pt idx="9">
                  <c:v>1.6120395649918115E-2</c:v>
                </c:pt>
                <c:pt idx="10">
                  <c:v>1.8658794813329129E-2</c:v>
                </c:pt>
              </c:numCache>
            </c:numRef>
          </c:xVal>
          <c:yVal>
            <c:numRef>
              <c:f>'eff82 bis'!$Q$3:$Q$13</c:f>
              <c:numCache>
                <c:formatCode>0.00E+00</c:formatCode>
                <c:ptCount val="11"/>
                <c:pt idx="0">
                  <c:v>2.308838273353553E-3</c:v>
                </c:pt>
                <c:pt idx="1">
                  <c:v>1.8261195084791019E-3</c:v>
                </c:pt>
                <c:pt idx="2">
                  <c:v>2.8122603906159021E-3</c:v>
                </c:pt>
                <c:pt idx="3">
                  <c:v>1.614224536671435E-3</c:v>
                </c:pt>
                <c:pt idx="4">
                  <c:v>2.9363857978784613E-3</c:v>
                </c:pt>
                <c:pt idx="5">
                  <c:v>2.6788271539791688E-3</c:v>
                </c:pt>
                <c:pt idx="6">
                  <c:v>4.6869685035581454E-3</c:v>
                </c:pt>
                <c:pt idx="7">
                  <c:v>1.835613905598406E-3</c:v>
                </c:pt>
                <c:pt idx="8">
                  <c:v>1.8402046094723506E-3</c:v>
                </c:pt>
                <c:pt idx="9">
                  <c:v>9.4064244358284049E-4</c:v>
                </c:pt>
                <c:pt idx="10">
                  <c:v>1.8687536555815508E-3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3BD8-4C48-8B99-8E4753A65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5246896"/>
        <c:axId val="895248624"/>
      </c:scatterChart>
      <c:valAx>
        <c:axId val="895246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95248624"/>
        <c:crosses val="autoZero"/>
        <c:crossBetween val="midCat"/>
      </c:valAx>
      <c:valAx>
        <c:axId val="895248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95246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3328881455908948E-2"/>
          <c:y val="0.11961485472631353"/>
          <c:w val="0.92599347258386289"/>
          <c:h val="0.8236816962053824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'eff82 bis'!$M$3:$M$13</c:f>
              <c:numCache>
                <c:formatCode>General</c:formatCode>
                <c:ptCount val="11"/>
                <c:pt idx="0">
                  <c:v>1348.51</c:v>
                </c:pt>
                <c:pt idx="1">
                  <c:v>1909.99</c:v>
                </c:pt>
                <c:pt idx="2">
                  <c:v>867.29700000000003</c:v>
                </c:pt>
                <c:pt idx="3">
                  <c:v>2216.0300000000002</c:v>
                </c:pt>
                <c:pt idx="4">
                  <c:v>938.56399999999996</c:v>
                </c:pt>
                <c:pt idx="5">
                  <c:v>985.43200000000002</c:v>
                </c:pt>
                <c:pt idx="6">
                  <c:v>415.666</c:v>
                </c:pt>
                <c:pt idx="7">
                  <c:v>1354.85</c:v>
                </c:pt>
                <c:pt idx="8">
                  <c:v>1909.98</c:v>
                </c:pt>
                <c:pt idx="9">
                  <c:v>3848.12</c:v>
                </c:pt>
                <c:pt idx="10">
                  <c:v>2872.32</c:v>
                </c:pt>
              </c:numCache>
            </c:numRef>
          </c:xVal>
          <c:yVal>
            <c:numRef>
              <c:f>'eff82 bis'!$S$3:$S$13</c:f>
              <c:numCache>
                <c:formatCode>0.00E+00</c:formatCode>
                <c:ptCount val="11"/>
                <c:pt idx="0">
                  <c:v>1.0358148043906557</c:v>
                </c:pt>
                <c:pt idx="1">
                  <c:v>0.96677957269411152</c:v>
                </c:pt>
                <c:pt idx="2">
                  <c:v>0.89600814945267448</c:v>
                </c:pt>
                <c:pt idx="3">
                  <c:v>0.88561787293460548</c:v>
                </c:pt>
                <c:pt idx="4">
                  <c:v>1.0455761206804324</c:v>
                </c:pt>
                <c:pt idx="5">
                  <c:v>1.0269321485382041</c:v>
                </c:pt>
                <c:pt idx="6">
                  <c:v>1.0581747399323504</c:v>
                </c:pt>
                <c:pt idx="7">
                  <c:v>0.99136307856600869</c:v>
                </c:pt>
                <c:pt idx="8">
                  <c:v>0.95218814062161783</c:v>
                </c:pt>
                <c:pt idx="9">
                  <c:v>0.86433677878410375</c:v>
                </c:pt>
                <c:pt idx="10">
                  <c:v>1.0790544083674656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9E-E942-8EF4-CE279B77A4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3075360"/>
        <c:axId val="1133077072"/>
      </c:scatterChart>
      <c:valAx>
        <c:axId val="1133075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33077072"/>
        <c:crosses val="autoZero"/>
        <c:crossBetween val="midCat"/>
      </c:valAx>
      <c:valAx>
        <c:axId val="113307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33075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0.0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'Calibration Run par Run'!$A$13:$A$19</c:f>
              <c:numCache>
                <c:formatCode>0.0000</c:formatCode>
                <c:ptCount val="7"/>
                <c:pt idx="0">
                  <c:v>100.2</c:v>
                </c:pt>
                <c:pt idx="1">
                  <c:v>242</c:v>
                </c:pt>
                <c:pt idx="2">
                  <c:v>247.58</c:v>
                </c:pt>
                <c:pt idx="3">
                  <c:v>306.51</c:v>
                </c:pt>
                <c:pt idx="4">
                  <c:v>624.1</c:v>
                </c:pt>
                <c:pt idx="5">
                  <c:v>1045.93</c:v>
                </c:pt>
                <c:pt idx="6">
                  <c:v>1454.55</c:v>
                </c:pt>
              </c:numCache>
            </c:numRef>
          </c:xVal>
          <c:yVal>
            <c:numRef>
              <c:f>'Calibration Run par Run'!$B$13:$B$19</c:f>
              <c:numCache>
                <c:formatCode>0.0000</c:formatCode>
                <c:ptCount val="7"/>
                <c:pt idx="0">
                  <c:v>100.71599999999999</c:v>
                </c:pt>
                <c:pt idx="1">
                  <c:v>242.71799999999999</c:v>
                </c:pt>
                <c:pt idx="2">
                  <c:v>247.91</c:v>
                </c:pt>
                <c:pt idx="3">
                  <c:v>307.02499999999998</c:v>
                </c:pt>
                <c:pt idx="4">
                  <c:v>624.62</c:v>
                </c:pt>
                <c:pt idx="5">
                  <c:v>1046.33</c:v>
                </c:pt>
                <c:pt idx="6">
                  <c:v>1455.16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EB-904A-AB57-C98B328AC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7643168"/>
        <c:axId val="397644880"/>
      </c:scatterChart>
      <c:valAx>
        <c:axId val="397643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97644880"/>
        <c:crosses val="autoZero"/>
        <c:crossBetween val="midCat"/>
      </c:valAx>
      <c:valAx>
        <c:axId val="39764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97643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3.6815112133123579E-2"/>
          <c:y val="7.63139120095125E-2"/>
          <c:w val="0.93069679020749707"/>
          <c:h val="0.8566271873566339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5.7998829482108091E-2"/>
                  <c:y val="-0.1802263896561086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errBars>
            <c:errDir val="x"/>
            <c:errBarType val="both"/>
            <c:errValType val="fixedVal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'Efficacité source dans chambre'!$B$16:$K$16</c:f>
                <c:numCache>
                  <c:formatCode>General</c:formatCode>
                  <c:ptCount val="10"/>
                  <c:pt idx="0">
                    <c:v>0.25125699847774824</c:v>
                  </c:pt>
                  <c:pt idx="1">
                    <c:v>0.1666935266674745</c:v>
                  </c:pt>
                  <c:pt idx="2">
                    <c:v>0.1446155751402686</c:v>
                  </c:pt>
                  <c:pt idx="3">
                    <c:v>0.11516152559638303</c:v>
                  </c:pt>
                  <c:pt idx="4">
                    <c:v>0.12068796029240124</c:v>
                  </c:pt>
                  <c:pt idx="5">
                    <c:v>7.7087953259847172E-2</c:v>
                  </c:pt>
                  <c:pt idx="6">
                    <c:v>6.4397710990879195E-2</c:v>
                  </c:pt>
                  <c:pt idx="7">
                    <c:v>6.5971899301499146E-2</c:v>
                  </c:pt>
                  <c:pt idx="8">
                    <c:v>6.2400875875056105E-2</c:v>
                  </c:pt>
                  <c:pt idx="9">
                    <c:v>4.9440728143396444E-2</c:v>
                  </c:pt>
                </c:numCache>
              </c:numRef>
            </c:plus>
            <c:minus>
              <c:numRef>
                <c:f>'Efficacité source dans chambre'!$B$16:$K$16</c:f>
                <c:numCache>
                  <c:formatCode>General</c:formatCode>
                  <c:ptCount val="10"/>
                  <c:pt idx="0">
                    <c:v>0.25125699847774824</c:v>
                  </c:pt>
                  <c:pt idx="1">
                    <c:v>0.1666935266674745</c:v>
                  </c:pt>
                  <c:pt idx="2">
                    <c:v>0.1446155751402686</c:v>
                  </c:pt>
                  <c:pt idx="3">
                    <c:v>0.11516152559638303</c:v>
                  </c:pt>
                  <c:pt idx="4">
                    <c:v>0.12068796029240124</c:v>
                  </c:pt>
                  <c:pt idx="5">
                    <c:v>7.7087953259847172E-2</c:v>
                  </c:pt>
                  <c:pt idx="6">
                    <c:v>6.4397710990879195E-2</c:v>
                  </c:pt>
                  <c:pt idx="7">
                    <c:v>6.5971899301499146E-2</c:v>
                  </c:pt>
                  <c:pt idx="8">
                    <c:v>6.2400875875056105E-2</c:v>
                  </c:pt>
                  <c:pt idx="9">
                    <c:v>4.9440728143396444E-2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'Efficacité source dans chambre'!$B$13:$K$13</c:f>
              <c:numCache>
                <c:formatCode>General</c:formatCode>
                <c:ptCount val="10"/>
                <c:pt idx="0">
                  <c:v>121.7817</c:v>
                </c:pt>
                <c:pt idx="1">
                  <c:v>244.69749999999999</c:v>
                </c:pt>
                <c:pt idx="2">
                  <c:v>344.27850000000001</c:v>
                </c:pt>
                <c:pt idx="3">
                  <c:v>411.11630000000002</c:v>
                </c:pt>
                <c:pt idx="4">
                  <c:v>443.96499999999997</c:v>
                </c:pt>
                <c:pt idx="5">
                  <c:v>778.904</c:v>
                </c:pt>
                <c:pt idx="6">
                  <c:v>867.37800000000004</c:v>
                </c:pt>
                <c:pt idx="7">
                  <c:v>964.07899999999995</c:v>
                </c:pt>
                <c:pt idx="8">
                  <c:v>1112.0740000000001</c:v>
                </c:pt>
                <c:pt idx="9">
                  <c:v>1408.0060000000001</c:v>
                </c:pt>
              </c:numCache>
            </c:numRef>
          </c:xVal>
          <c:yVal>
            <c:numRef>
              <c:f>'Efficacité source dans chambre'!$B$11:$K$11</c:f>
              <c:numCache>
                <c:formatCode>0.0000</c:formatCode>
                <c:ptCount val="10"/>
                <c:pt idx="0">
                  <c:v>2.5125699847774823</c:v>
                </c:pt>
                <c:pt idx="1">
                  <c:v>1.6669352666747448</c:v>
                </c:pt>
                <c:pt idx="2">
                  <c:v>1.4461557514026859</c:v>
                </c:pt>
                <c:pt idx="3">
                  <c:v>1.1516152559638302</c:v>
                </c:pt>
                <c:pt idx="4">
                  <c:v>1.2068796029240123</c:v>
                </c:pt>
                <c:pt idx="5">
                  <c:v>0.77087953259847164</c:v>
                </c:pt>
                <c:pt idx="6">
                  <c:v>0.64397710990879198</c:v>
                </c:pt>
                <c:pt idx="7">
                  <c:v>0.65971899301499148</c:v>
                </c:pt>
                <c:pt idx="8">
                  <c:v>0.62400875875056105</c:v>
                </c:pt>
                <c:pt idx="9">
                  <c:v>0.4944072814339644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C0-2F45-9F1F-1D77DA47B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9159376"/>
        <c:axId val="1119161104"/>
      </c:scatterChart>
      <c:valAx>
        <c:axId val="1119159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accent1">
                  <a:alpha val="63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alpha val="4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19161104"/>
        <c:crosses val="autoZero"/>
        <c:crossBetween val="midCat"/>
      </c:valAx>
      <c:valAx>
        <c:axId val="111916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accent1">
                  <a:alpha val="58000"/>
                </a:schemeClr>
              </a:solidFill>
              <a:round/>
            </a:ln>
            <a:effectLst/>
          </c:spPr>
        </c:min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19159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>
          <a:alpha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Etalonnage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0.000000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'Calbration RUN58'!$G$4:$G$17</c:f>
              <c:numCache>
                <c:formatCode>0.00E+00</c:formatCode>
                <c:ptCount val="14"/>
                <c:pt idx="2">
                  <c:v>537.65</c:v>
                </c:pt>
                <c:pt idx="3">
                  <c:v>1232</c:v>
                </c:pt>
                <c:pt idx="4">
                  <c:v>1794</c:v>
                </c:pt>
                <c:pt idx="5">
                  <c:v>2172</c:v>
                </c:pt>
                <c:pt idx="6">
                  <c:v>2358</c:v>
                </c:pt>
                <c:pt idx="7">
                  <c:v>4249.8</c:v>
                </c:pt>
                <c:pt idx="8">
                  <c:v>4749</c:v>
                </c:pt>
                <c:pt idx="9">
                  <c:v>5296</c:v>
                </c:pt>
                <c:pt idx="10">
                  <c:v>5983.6</c:v>
                </c:pt>
                <c:pt idx="11">
                  <c:v>6005.5</c:v>
                </c:pt>
                <c:pt idx="12">
                  <c:v>6132.08</c:v>
                </c:pt>
                <c:pt idx="13">
                  <c:v>7804.35</c:v>
                </c:pt>
              </c:numCache>
            </c:numRef>
          </c:xVal>
          <c:yVal>
            <c:numRef>
              <c:f>'Calbration RUN58'!$E$4:$E$17</c:f>
              <c:numCache>
                <c:formatCode>General</c:formatCode>
                <c:ptCount val="14"/>
                <c:pt idx="2">
                  <c:v>121.7817</c:v>
                </c:pt>
                <c:pt idx="3">
                  <c:v>244.69739999999999</c:v>
                </c:pt>
                <c:pt idx="4">
                  <c:v>344.27850000000001</c:v>
                </c:pt>
                <c:pt idx="5">
                  <c:v>411.11649999999997</c:v>
                </c:pt>
                <c:pt idx="6">
                  <c:v>443.9606</c:v>
                </c:pt>
                <c:pt idx="7">
                  <c:v>778.90449999999998</c:v>
                </c:pt>
                <c:pt idx="8">
                  <c:v>867.38</c:v>
                </c:pt>
                <c:pt idx="9">
                  <c:v>964.05700000000002</c:v>
                </c:pt>
                <c:pt idx="10">
                  <c:v>1085.837</c:v>
                </c:pt>
                <c:pt idx="11">
                  <c:v>1089.7370000000001</c:v>
                </c:pt>
                <c:pt idx="12">
                  <c:v>1112.076</c:v>
                </c:pt>
                <c:pt idx="13">
                  <c:v>1408.0129999999999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15-4D42-B690-C73B6BF6B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9836832"/>
        <c:axId val="1499838560"/>
      </c:scatterChart>
      <c:valAx>
        <c:axId val="1499836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99838560"/>
        <c:crosses val="autoZero"/>
        <c:crossBetween val="midCat"/>
      </c:valAx>
      <c:valAx>
        <c:axId val="149983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99836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2012172289582357E-2"/>
          <c:y val="2.0615248485120013E-2"/>
          <c:w val="0.95842319274725618"/>
          <c:h val="0.95135381548145737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27000">
                <a:solidFill>
                  <a:schemeClr val="accent1"/>
                </a:solidFill>
              </a:ln>
              <a:effectLst/>
            </c:spPr>
          </c:marker>
          <c:xVal>
            <c:strRef>
              <c:f>Feuil1!$H$1:$H$6</c:f>
              <c:strCache>
                <c:ptCount val="6"/>
                <c:pt idx="0">
                  <c:v>R2/R1</c:v>
                </c:pt>
                <c:pt idx="1">
                  <c:v>R3/R1</c:v>
                </c:pt>
                <c:pt idx="2">
                  <c:v>R4/R1</c:v>
                </c:pt>
                <c:pt idx="3">
                  <c:v>R3/R2</c:v>
                </c:pt>
                <c:pt idx="4">
                  <c:v>R4/R2</c:v>
                </c:pt>
                <c:pt idx="5">
                  <c:v>R4/R3</c:v>
                </c:pt>
              </c:strCache>
            </c:strRef>
          </c:xVal>
          <c:yVal>
            <c:numRef>
              <c:f>Feuil1!$E$1:$E$6</c:f>
              <c:numCache>
                <c:formatCode>0.00E+00</c:formatCode>
                <c:ptCount val="6"/>
                <c:pt idx="0">
                  <c:v>0.97775587317233448</c:v>
                </c:pt>
                <c:pt idx="1">
                  <c:v>0.68205027106949234</c:v>
                </c:pt>
                <c:pt idx="2">
                  <c:v>0.44594381468703798</c:v>
                </c:pt>
                <c:pt idx="3">
                  <c:v>0.69756704079575238</c:v>
                </c:pt>
                <c:pt idx="4">
                  <c:v>0.45608911889239873</c:v>
                </c:pt>
                <c:pt idx="5">
                  <c:v>0.65382836662138344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9E-1949-879B-0883A7EED8F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27000">
                <a:solidFill>
                  <a:schemeClr val="accent2"/>
                </a:solidFill>
              </a:ln>
              <a:effectLst/>
            </c:spPr>
          </c:marker>
          <c:errBars>
            <c:errDir val="x"/>
            <c:errBarType val="both"/>
            <c:errValType val="fixedVal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Feuil1!$F$8:$F$13</c:f>
                <c:numCache>
                  <c:formatCode>General</c:formatCode>
                  <c:ptCount val="6"/>
                  <c:pt idx="0">
                    <c:v>3.9716298668254048E-3</c:v>
                  </c:pt>
                  <c:pt idx="1">
                    <c:v>3.1473718377114761E-3</c:v>
                  </c:pt>
                  <c:pt idx="2">
                    <c:v>2.331660220089122E-3</c:v>
                  </c:pt>
                  <c:pt idx="3">
                    <c:v>3.1128173430336648E-3</c:v>
                  </c:pt>
                  <c:pt idx="4">
                    <c:v>2.3071298301507942E-3</c:v>
                  </c:pt>
                  <c:pt idx="5">
                    <c:v>3.3554601810698416E-3</c:v>
                  </c:pt>
                </c:numCache>
              </c:numRef>
            </c:plus>
            <c:minus>
              <c:numRef>
                <c:f>Feuil1!$F$8:$F$13</c:f>
                <c:numCache>
                  <c:formatCode>General</c:formatCode>
                  <c:ptCount val="6"/>
                  <c:pt idx="0">
                    <c:v>3.9716298668254048E-3</c:v>
                  </c:pt>
                  <c:pt idx="1">
                    <c:v>3.1473718377114761E-3</c:v>
                  </c:pt>
                  <c:pt idx="2">
                    <c:v>2.331660220089122E-3</c:v>
                  </c:pt>
                  <c:pt idx="3">
                    <c:v>3.1128173430336648E-3</c:v>
                  </c:pt>
                  <c:pt idx="4">
                    <c:v>2.3071298301507942E-3</c:v>
                  </c:pt>
                  <c:pt idx="5">
                    <c:v>3.3554601810698416E-3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strRef>
              <c:f>Feuil1!$H$1:$H$6</c:f>
              <c:strCache>
                <c:ptCount val="6"/>
                <c:pt idx="0">
                  <c:v>R2/R1</c:v>
                </c:pt>
                <c:pt idx="1">
                  <c:v>R3/R1</c:v>
                </c:pt>
                <c:pt idx="2">
                  <c:v>R4/R1</c:v>
                </c:pt>
                <c:pt idx="3">
                  <c:v>R3/R2</c:v>
                </c:pt>
                <c:pt idx="4">
                  <c:v>R4/R2</c:v>
                </c:pt>
                <c:pt idx="5">
                  <c:v>R4/R3</c:v>
                </c:pt>
              </c:strCache>
            </c:strRef>
          </c:xVal>
          <c:yVal>
            <c:numRef>
              <c:f>Feuil1!$E$8:$E$13</c:f>
              <c:numCache>
                <c:formatCode>0.00E+00</c:formatCode>
                <c:ptCount val="6"/>
                <c:pt idx="0">
                  <c:v>1.009156753981282</c:v>
                </c:pt>
                <c:pt idx="1">
                  <c:v>0.73422074234279089</c:v>
                </c:pt>
                <c:pt idx="2">
                  <c:v>0.47407401644637037</c:v>
                </c:pt>
                <c:pt idx="3">
                  <c:v>0.72755866662555124</c:v>
                </c:pt>
                <c:pt idx="4">
                  <c:v>0.46977242591507601</c:v>
                </c:pt>
                <c:pt idx="5">
                  <c:v>0.64568322454861404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9E-1949-879B-0883A7EED8FA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127000">
                <a:solidFill>
                  <a:schemeClr val="accent3"/>
                </a:solidFill>
              </a:ln>
              <a:effectLst/>
            </c:spPr>
          </c:marker>
          <c:xVal>
            <c:strRef>
              <c:f>Feuil1!$H$1:$H$6</c:f>
              <c:strCache>
                <c:ptCount val="6"/>
                <c:pt idx="0">
                  <c:v>R2/R1</c:v>
                </c:pt>
                <c:pt idx="1">
                  <c:v>R3/R1</c:v>
                </c:pt>
                <c:pt idx="2">
                  <c:v>R4/R1</c:v>
                </c:pt>
                <c:pt idx="3">
                  <c:v>R3/R2</c:v>
                </c:pt>
                <c:pt idx="4">
                  <c:v>R4/R2</c:v>
                </c:pt>
                <c:pt idx="5">
                  <c:v>R4/R3</c:v>
                </c:pt>
              </c:strCache>
            </c:strRef>
          </c:xVal>
          <c:yVal>
            <c:numRef>
              <c:f>Feuil1!$E$19:$E$24</c:f>
              <c:numCache>
                <c:formatCode>0.00E+00</c:formatCode>
                <c:ptCount val="6"/>
                <c:pt idx="0">
                  <c:v>0.91357840948553848</c:v>
                </c:pt>
                <c:pt idx="1">
                  <c:v>0.51093912784640572</c:v>
                </c:pt>
                <c:pt idx="2">
                  <c:v>0.27687651932331198</c:v>
                </c:pt>
                <c:pt idx="3">
                  <c:v>0.55927233233776807</c:v>
                </c:pt>
                <c:pt idx="4">
                  <c:v>0.30306815096388812</c:v>
                </c:pt>
                <c:pt idx="5">
                  <c:v>0.54189727157976497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09E-1949-879B-0883A7EED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3364352"/>
        <c:axId val="1473578912"/>
      </c:scatterChart>
      <c:valAx>
        <c:axId val="184336435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1473578912"/>
        <c:crosses val="autoZero"/>
        <c:crossBetween val="midCat"/>
      </c:valAx>
      <c:valAx>
        <c:axId val="147357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43364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 baseline="0">
          <a:solidFill>
            <a:schemeClr val="tx1"/>
          </a:solidFill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217713</xdr:colOff>
      <xdr:row>29</xdr:row>
      <xdr:rowOff>116115</xdr:rowOff>
    </xdr:from>
    <xdr:to>
      <xdr:col>10</xdr:col>
      <xdr:colOff>177800</xdr:colOff>
      <xdr:row>31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890EF435-E819-E3AF-A653-FC12932E3CC9}"/>
            </a:ext>
          </a:extLst>
        </xdr:cNvPr>
        <xdr:cNvSpPr txBox="1"/>
      </xdr:nvSpPr>
      <xdr:spPr>
        <a:xfrm>
          <a:off x="13527313" y="6885215"/>
          <a:ext cx="4125687" cy="531585"/>
        </a:xfrm>
        <a:prstGeom prst="rect">
          <a:avLst/>
        </a:prstGeom>
        <a:solidFill>
          <a:schemeClr val="bg1"/>
        </a:solidFill>
        <a:ln w="381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fr-FR" sz="1400" b="1">
              <a:latin typeface="Menlo" panose="020B0609030804020204" pitchFamily="49" charset="0"/>
              <a:ea typeface="Menlo" panose="020B0609030804020204" pitchFamily="49" charset="0"/>
              <a:cs typeface="Menlo" panose="020B0609030804020204" pitchFamily="49" charset="0"/>
            </a:rPr>
            <a:t>Beta-Gamma</a:t>
          </a:r>
          <a:r>
            <a:rPr lang="fr-FR" sz="1400" b="1" baseline="0">
              <a:latin typeface="Menlo" panose="020B0609030804020204" pitchFamily="49" charset="0"/>
              <a:ea typeface="Menlo" panose="020B0609030804020204" pitchFamily="49" charset="0"/>
              <a:cs typeface="Menlo" panose="020B0609030804020204" pitchFamily="49" charset="0"/>
            </a:rPr>
            <a:t> window : 1.16 - 1.59 us</a:t>
          </a:r>
        </a:p>
        <a:p>
          <a:pPr algn="l"/>
          <a:r>
            <a:rPr lang="fr-FR" sz="1400" b="1" baseline="0">
              <a:latin typeface="Menlo" panose="020B0609030804020204" pitchFamily="49" charset="0"/>
              <a:ea typeface="Menlo" panose="020B0609030804020204" pitchFamily="49" charset="0"/>
              <a:cs typeface="Menlo" panose="020B0609030804020204" pitchFamily="49" charset="0"/>
            </a:rPr>
            <a:t>Neutron - Gamma windows : 0 - 200 us</a:t>
          </a:r>
          <a:endParaRPr lang="fr-FR" sz="1400" b="1">
            <a:latin typeface="Menlo" panose="020B0609030804020204" pitchFamily="49" charset="0"/>
            <a:ea typeface="Menlo" panose="020B0609030804020204" pitchFamily="49" charset="0"/>
            <a:cs typeface="Menlo" panose="020B0609030804020204" pitchFamily="49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1078734</xdr:colOff>
      <xdr:row>21</xdr:row>
      <xdr:rowOff>61302</xdr:rowOff>
    </xdr:from>
    <xdr:to>
      <xdr:col>20</xdr:col>
      <xdr:colOff>68450</xdr:colOff>
      <xdr:row>38</xdr:row>
      <xdr:rowOff>182253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CED85AA-BDCD-6ED4-49A2-BB20C6BF17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834845</xdr:colOff>
      <xdr:row>11</xdr:row>
      <xdr:rowOff>104431</xdr:rowOff>
    </xdr:from>
    <xdr:to>
      <xdr:col>24</xdr:col>
      <xdr:colOff>822751</xdr:colOff>
      <xdr:row>30</xdr:row>
      <xdr:rowOff>17042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FAD34D48-74AE-924B-D427-618EEDD85C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2157846</xdr:colOff>
      <xdr:row>11</xdr:row>
      <xdr:rowOff>203200</xdr:rowOff>
    </xdr:from>
    <xdr:to>
      <xdr:col>3</xdr:col>
      <xdr:colOff>6628246</xdr:colOff>
      <xdr:row>13</xdr:row>
      <xdr:rowOff>23091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160FA127-5314-A048-810F-0DB994DB605D}"/>
            </a:ext>
          </a:extLst>
        </xdr:cNvPr>
        <xdr:cNvSpPr txBox="1"/>
      </xdr:nvSpPr>
      <xdr:spPr>
        <a:xfrm>
          <a:off x="6672119" y="2743200"/>
          <a:ext cx="4470400" cy="281709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fr-FR" sz="1400">
              <a:latin typeface="Menlo" panose="020B0609030804020204" pitchFamily="49" charset="0"/>
              <a:ea typeface="Menlo" panose="020B0609030804020204" pitchFamily="49" charset="0"/>
              <a:cs typeface="Menlo" panose="020B0609030804020204" pitchFamily="49" charset="0"/>
            </a:rPr>
            <a:t>Avec méthode Dmitry, je trouve 24%.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1651000</xdr:colOff>
      <xdr:row>12</xdr:row>
      <xdr:rowOff>50800</xdr:rowOff>
    </xdr:from>
    <xdr:to>
      <xdr:col>5</xdr:col>
      <xdr:colOff>698500</xdr:colOff>
      <xdr:row>15</xdr:row>
      <xdr:rowOff>101600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EC477BA0-EB36-C346-2CD7-9399CC8D46A2}"/>
            </a:ext>
          </a:extLst>
        </xdr:cNvPr>
        <xdr:cNvSpPr txBox="1"/>
      </xdr:nvSpPr>
      <xdr:spPr>
        <a:xfrm>
          <a:off x="1651000" y="2832100"/>
          <a:ext cx="6083300" cy="66040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fr-FR" sz="1400">
              <a:latin typeface="Menlo" panose="020B0609030804020204" pitchFamily="49" charset="0"/>
              <a:ea typeface="Menlo" panose="020B0609030804020204" pitchFamily="49" charset="0"/>
              <a:cs typeface="Menlo" panose="020B0609030804020204" pitchFamily="49" charset="0"/>
            </a:rPr>
            <a:t>Ici ce n'est pas Pn mais bien &lt;n&gt;* = P1n + (1+Effn)*P2n</a:t>
          </a:r>
          <a:r>
            <a:rPr lang="fr-FR" sz="1400" baseline="0">
              <a:latin typeface="Menlo" panose="020B0609030804020204" pitchFamily="49" charset="0"/>
              <a:ea typeface="Menlo" panose="020B0609030804020204" pitchFamily="49" charset="0"/>
              <a:cs typeface="Menlo" panose="020B0609030804020204" pitchFamily="49" charset="0"/>
            </a:rPr>
            <a:t> (voir démo cahier)</a:t>
          </a:r>
        </a:p>
        <a:p>
          <a:pPr algn="l"/>
          <a:endParaRPr lang="fr-FR" sz="1400">
            <a:latin typeface="Menlo" panose="020B0609030804020204" pitchFamily="49" charset="0"/>
            <a:ea typeface="Menlo" panose="020B0609030804020204" pitchFamily="49" charset="0"/>
            <a:cs typeface="Menlo" panose="020B0609030804020204" pitchFamily="49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63500</xdr:colOff>
      <xdr:row>10</xdr:row>
      <xdr:rowOff>12700</xdr:rowOff>
    </xdr:from>
    <xdr:to>
      <xdr:col>7</xdr:col>
      <xdr:colOff>520700</xdr:colOff>
      <xdr:row>16</xdr:row>
      <xdr:rowOff>12700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79267023-4B30-1890-15FD-B6C88A98B0A8}"/>
            </a:ext>
          </a:extLst>
        </xdr:cNvPr>
        <xdr:cNvSpPr txBox="1"/>
      </xdr:nvSpPr>
      <xdr:spPr>
        <a:xfrm>
          <a:off x="2222500" y="2298700"/>
          <a:ext cx="5854700" cy="137160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fr-FR" sz="1400">
              <a:latin typeface="Menlo" panose="020B0609030804020204" pitchFamily="49" charset="0"/>
              <a:ea typeface="Menlo" panose="020B0609030804020204" pitchFamily="49" charset="0"/>
              <a:cs typeface="Menlo" panose="020B0609030804020204" pitchFamily="49" charset="0"/>
            </a:rPr>
            <a:t>Ici j'ai</a:t>
          </a:r>
          <a:r>
            <a:rPr lang="fr-FR" sz="1400" baseline="0">
              <a:latin typeface="Menlo" panose="020B0609030804020204" pitchFamily="49" charset="0"/>
              <a:ea typeface="Menlo" panose="020B0609030804020204" pitchFamily="49" charset="0"/>
              <a:cs typeface="Menlo" panose="020B0609030804020204" pitchFamily="49" charset="0"/>
            </a:rPr>
            <a:t> fitté l'activité 2n puis fais la difference d'integrale du fit et des faux coups</a:t>
          </a:r>
          <a:endParaRPr lang="fr-FR" sz="1400">
            <a:latin typeface="Menlo" panose="020B0609030804020204" pitchFamily="49" charset="0"/>
            <a:ea typeface="Menlo" panose="020B0609030804020204" pitchFamily="49" charset="0"/>
            <a:cs typeface="Menlo" panose="020B0609030804020204" pitchFamily="49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990600</xdr:colOff>
      <xdr:row>28</xdr:row>
      <xdr:rowOff>139700</xdr:rowOff>
    </xdr:from>
    <xdr:to>
      <xdr:col>12</xdr:col>
      <xdr:colOff>914400</xdr:colOff>
      <xdr:row>30</xdr:row>
      <xdr:rowOff>127000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29B4541F-6990-9D7B-406C-BC573976D925}"/>
            </a:ext>
          </a:extLst>
        </xdr:cNvPr>
        <xdr:cNvSpPr txBox="1"/>
      </xdr:nvSpPr>
      <xdr:spPr>
        <a:xfrm>
          <a:off x="8610600" y="6540500"/>
          <a:ext cx="6400800" cy="44450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fr-FR" sz="1400">
              <a:latin typeface="Menlo" panose="020B0609030804020204" pitchFamily="49" charset="0"/>
              <a:ea typeface="Menlo" panose="020B0609030804020204" pitchFamily="49" charset="0"/>
              <a:cs typeface="Menlo" panose="020B0609030804020204" pitchFamily="49" charset="0"/>
            </a:rPr>
            <a:t>Ici,</a:t>
          </a:r>
          <a:r>
            <a:rPr lang="fr-FR" sz="1400" baseline="0">
              <a:latin typeface="Menlo" panose="020B0609030804020204" pitchFamily="49" charset="0"/>
              <a:ea typeface="Menlo" panose="020B0609030804020204" pitchFamily="49" charset="0"/>
              <a:cs typeface="Menlo" panose="020B0609030804020204" pitchFamily="49" charset="0"/>
            </a:rPr>
            <a:t> il faut que je refasse une fenetre de coinc beta-gamma qui englobe tout pour les intensitées abs</a:t>
          </a:r>
        </a:p>
      </xdr:txBody>
    </xdr:sp>
    <xdr:clientData/>
  </xdr:twoCellAnchor>
  <xdr:twoCellAnchor>
    <xdr:from>
      <xdr:col>10</xdr:col>
      <xdr:colOff>635000</xdr:colOff>
      <xdr:row>18</xdr:row>
      <xdr:rowOff>88900</xdr:rowOff>
    </xdr:from>
    <xdr:to>
      <xdr:col>14</xdr:col>
      <xdr:colOff>342900</xdr:colOff>
      <xdr:row>20</xdr:row>
      <xdr:rowOff>177800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D3D2009C-DD22-519D-6F80-1FC8CAFEA045}"/>
            </a:ext>
          </a:extLst>
        </xdr:cNvPr>
        <xdr:cNvSpPr txBox="1"/>
      </xdr:nvSpPr>
      <xdr:spPr>
        <a:xfrm>
          <a:off x="12573000" y="4203700"/>
          <a:ext cx="4025900" cy="546100"/>
        </a:xfrm>
        <a:prstGeom prst="rect">
          <a:avLst/>
        </a:prstGeom>
        <a:solidFill>
          <a:schemeClr val="accent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fr-FR" sz="1400">
              <a:latin typeface="Menlo" panose="020B0609030804020204" pitchFamily="49" charset="0"/>
              <a:ea typeface="Menlo" panose="020B0609030804020204" pitchFamily="49" charset="0"/>
              <a:cs typeface="Menlo" panose="020B0609030804020204" pitchFamily="49" charset="0"/>
            </a:rPr>
            <a:t>Ici le sigma est trop</a:t>
          </a:r>
          <a:r>
            <a:rPr lang="fr-FR" sz="1400" baseline="0">
              <a:latin typeface="Menlo" panose="020B0609030804020204" pitchFamily="49" charset="0"/>
              <a:ea typeface="Menlo" panose="020B0609030804020204" pitchFamily="49" charset="0"/>
              <a:cs typeface="Menlo" panose="020B0609030804020204" pitchFamily="49" charset="0"/>
            </a:rPr>
            <a:t> faible, contrairement aux coincs beta-gamma</a:t>
          </a:r>
          <a:endParaRPr lang="fr-FR" sz="1400">
            <a:latin typeface="Menlo" panose="020B0609030804020204" pitchFamily="49" charset="0"/>
            <a:ea typeface="Menlo" panose="020B0609030804020204" pitchFamily="49" charset="0"/>
            <a:cs typeface="Menlo" panose="020B0609030804020204" pitchFamily="49" charset="0"/>
          </a:endParaRPr>
        </a:p>
      </xdr:txBody>
    </xdr:sp>
    <xdr:clientData/>
  </xdr:twoCellAnchor>
  <xdr:twoCellAnchor editAs="oneCell">
    <xdr:from>
      <xdr:col>13</xdr:col>
      <xdr:colOff>338420</xdr:colOff>
      <xdr:row>40</xdr:row>
      <xdr:rowOff>120240</xdr:rowOff>
    </xdr:from>
    <xdr:to>
      <xdr:col>13</xdr:col>
      <xdr:colOff>338780</xdr:colOff>
      <xdr:row>40</xdr:row>
      <xdr:rowOff>120600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Encre 2">
              <a:extLst>
                <a:ext uri="{FF2B5EF4-FFF2-40B4-BE49-F238E27FC236}">
                  <a16:creationId xmlns:a16="http://schemas.microsoft.com/office/drawing/2014/main" id="{C8EB47D8-948A-F571-DAEB-131036231483}"/>
                </a:ext>
              </a:extLst>
            </xdr14:cNvPr>
            <xdr14:cNvContentPartPr/>
          </xdr14:nvContentPartPr>
          <xdr14:nvPr macro=""/>
          <xdr14:xfrm>
            <a:off x="15514920" y="9264240"/>
            <a:ext cx="360" cy="360"/>
          </xdr14:xfrm>
        </xdr:contentPart>
      </mc:Choice>
      <mc:Fallback xmlns="">
        <xdr:pic>
          <xdr:nvPicPr>
            <xdr:cNvPr id="3" name="Encre 2">
              <a:extLst>
                <a:ext uri="{FF2B5EF4-FFF2-40B4-BE49-F238E27FC236}">
                  <a16:creationId xmlns:a16="http://schemas.microsoft.com/office/drawing/2014/main" id="{C8EB47D8-948A-F571-DAEB-13103623148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5505920" y="92552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857250</xdr:colOff>
      <xdr:row>1</xdr:row>
      <xdr:rowOff>38100</xdr:rowOff>
    </xdr:from>
    <xdr:to>
      <xdr:col>15</xdr:col>
      <xdr:colOff>139700</xdr:colOff>
      <xdr:row>30</xdr:row>
      <xdr:rowOff>215900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9AA32FA-8253-6B05-83CE-8A646F504C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463550</xdr:colOff>
      <xdr:row>29</xdr:row>
      <xdr:rowOff>203200</xdr:rowOff>
    </xdr:from>
    <xdr:to>
      <xdr:col>20</xdr:col>
      <xdr:colOff>165100</xdr:colOff>
      <xdr:row>55</xdr:row>
      <xdr:rowOff>12700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BF197BC6-D4CD-DB75-DADB-31A923B206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580571</xdr:colOff>
      <xdr:row>3</xdr:row>
      <xdr:rowOff>117929</xdr:rowOff>
    </xdr:from>
    <xdr:to>
      <xdr:col>13</xdr:col>
      <xdr:colOff>172356</xdr:colOff>
      <xdr:row>20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452B801-3575-3240-A3AE-BB4709735B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711200</xdr:colOff>
      <xdr:row>7</xdr:row>
      <xdr:rowOff>114300</xdr:rowOff>
    </xdr:from>
    <xdr:to>
      <xdr:col>27</xdr:col>
      <xdr:colOff>241300</xdr:colOff>
      <xdr:row>46</xdr:row>
      <xdr:rowOff>127000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8026A11-CB7C-9B1B-885D-4989206FD8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05T13:31:40.93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txDef>
      <a:spPr>
        <a:solidFill>
          <a:schemeClr val="bg1"/>
        </a:solidFill>
        <a:ln w="9525" cmpd="sng">
          <a:noFill/>
        </a:ln>
      </a:spPr>
      <a:bodyPr vertOverflow="clip" horzOverflow="clip" wrap="square" rtlCol="0" anchor="t"/>
      <a:lstStyle>
        <a:defPPr algn="l">
          <a:defRPr sz="1400">
            <a:latin typeface="Menlo" panose="020B0609030804020204" pitchFamily="49" charset="0"/>
            <a:ea typeface="Menlo" panose="020B0609030804020204" pitchFamily="49" charset="0"/>
            <a:cs typeface="Menlo" panose="020B0609030804020204" pitchFamily="49" charset="0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87EF2-46CF-E446-B33F-5F6D80182EE1}">
  <dimension ref="A1:E34"/>
  <sheetViews>
    <sheetView zoomScale="110" zoomScaleNormal="110" workbookViewId="0">
      <selection activeCell="D6" sqref="D6"/>
    </sheetView>
  </sheetViews>
  <sheetFormatPr baseColWidth="10" defaultRowHeight="18"/>
  <cols>
    <col min="1" max="1" width="30.75" style="3" customWidth="1"/>
    <col min="2" max="2" width="30.625" style="3" customWidth="1"/>
    <col min="3" max="3" width="30.75" style="3" customWidth="1"/>
    <col min="4" max="4" width="18.125" style="3" customWidth="1"/>
    <col min="5" max="5" width="18.25" style="3" customWidth="1"/>
    <col min="6" max="16384" width="10.625" style="3"/>
  </cols>
  <sheetData>
    <row r="1" spans="1:5">
      <c r="A1" s="38" t="s">
        <v>157</v>
      </c>
      <c r="B1" s="37">
        <v>144</v>
      </c>
    </row>
    <row r="2" spans="1:5">
      <c r="B2" s="5" t="s">
        <v>156</v>
      </c>
      <c r="C2" s="5" t="s">
        <v>155</v>
      </c>
      <c r="D2" s="5" t="s">
        <v>154</v>
      </c>
      <c r="E2" s="5" t="s">
        <v>153</v>
      </c>
    </row>
    <row r="3" spans="1:5">
      <c r="B3" s="27" t="s">
        <v>152</v>
      </c>
      <c r="C3" s="5" t="s">
        <v>151</v>
      </c>
      <c r="D3" s="5" t="s">
        <v>97</v>
      </c>
      <c r="E3" s="5" t="s">
        <v>150</v>
      </c>
    </row>
    <row r="4" spans="1:5">
      <c r="A4" s="5" t="s">
        <v>149</v>
      </c>
      <c r="B4" s="3" t="s">
        <v>148</v>
      </c>
      <c r="C4" s="3">
        <v>37</v>
      </c>
    </row>
    <row r="5" spans="1:5">
      <c r="A5" s="5" t="s">
        <v>147</v>
      </c>
      <c r="B5" s="3" t="s">
        <v>146</v>
      </c>
      <c r="C5" s="3">
        <v>48</v>
      </c>
      <c r="D5" s="3">
        <v>58</v>
      </c>
    </row>
    <row r="6" spans="1:5">
      <c r="A6" s="5" t="s">
        <v>145</v>
      </c>
      <c r="B6" s="3" t="s">
        <v>144</v>
      </c>
      <c r="C6" s="3">
        <v>57</v>
      </c>
      <c r="D6" s="3" t="s">
        <v>143</v>
      </c>
    </row>
    <row r="7" spans="1:5">
      <c r="A7" s="5" t="s">
        <v>142</v>
      </c>
      <c r="B7" s="3" t="s">
        <v>141</v>
      </c>
      <c r="C7" s="3" t="s">
        <v>140</v>
      </c>
      <c r="D7" s="3" t="s">
        <v>139</v>
      </c>
      <c r="E7" s="3" t="s">
        <v>138</v>
      </c>
    </row>
    <row r="8" spans="1:5">
      <c r="A8" s="5" t="s">
        <v>137</v>
      </c>
      <c r="B8" s="3" t="s">
        <v>136</v>
      </c>
      <c r="C8" s="3">
        <v>38</v>
      </c>
      <c r="E8" s="3" t="s">
        <v>135</v>
      </c>
    </row>
    <row r="9" spans="1:5">
      <c r="A9" s="5" t="s">
        <v>134</v>
      </c>
      <c r="B9" s="3">
        <v>28</v>
      </c>
      <c r="C9" s="3">
        <v>39</v>
      </c>
      <c r="D9" s="3">
        <v>86</v>
      </c>
    </row>
    <row r="10" spans="1:5">
      <c r="A10" s="5" t="s">
        <v>133</v>
      </c>
      <c r="E10" s="3" t="s">
        <v>132</v>
      </c>
    </row>
    <row r="12" spans="1:5">
      <c r="A12" s="5" t="s">
        <v>131</v>
      </c>
      <c r="B12" s="3" t="s">
        <v>130</v>
      </c>
      <c r="C12" s="3" t="s">
        <v>129</v>
      </c>
    </row>
    <row r="13" spans="1:5">
      <c r="A13" s="5" t="s">
        <v>128</v>
      </c>
      <c r="C13" s="3">
        <v>42</v>
      </c>
    </row>
    <row r="14" spans="1:5">
      <c r="A14" s="5" t="s">
        <v>127</v>
      </c>
      <c r="C14" s="3">
        <v>43</v>
      </c>
    </row>
    <row r="15" spans="1:5">
      <c r="A15" s="5" t="s">
        <v>126</v>
      </c>
      <c r="C15" s="3">
        <v>44</v>
      </c>
    </row>
    <row r="16" spans="1:5">
      <c r="A16" s="5" t="s">
        <v>125</v>
      </c>
      <c r="C16" s="3" t="s">
        <v>124</v>
      </c>
    </row>
    <row r="17" spans="1:5">
      <c r="A17" s="5" t="s">
        <v>123</v>
      </c>
      <c r="C17" s="3">
        <v>52</v>
      </c>
    </row>
    <row r="18" spans="1:5">
      <c r="A18" s="5" t="s">
        <v>122</v>
      </c>
      <c r="C18" s="3">
        <v>55</v>
      </c>
      <c r="D18" s="3" t="s">
        <v>121</v>
      </c>
    </row>
    <row r="19" spans="1:5">
      <c r="A19" s="5" t="s">
        <v>120</v>
      </c>
      <c r="C19" s="3">
        <v>56</v>
      </c>
      <c r="D19" s="3" t="s">
        <v>181</v>
      </c>
    </row>
    <row r="20" spans="1:5">
      <c r="A20" s="5" t="s">
        <v>119</v>
      </c>
      <c r="D20" s="3" t="s">
        <v>118</v>
      </c>
    </row>
    <row r="21" spans="1:5">
      <c r="A21" s="5"/>
    </row>
    <row r="22" spans="1:5">
      <c r="A22" s="5" t="s">
        <v>117</v>
      </c>
      <c r="B22" s="3" t="s">
        <v>116</v>
      </c>
    </row>
    <row r="23" spans="1:5">
      <c r="A23" s="5" t="s">
        <v>115</v>
      </c>
      <c r="B23" s="3" t="s">
        <v>114</v>
      </c>
      <c r="E23" s="3" t="s">
        <v>113</v>
      </c>
    </row>
    <row r="24" spans="1:5">
      <c r="A24" s="5" t="s">
        <v>112</v>
      </c>
      <c r="B24" s="3">
        <v>19</v>
      </c>
      <c r="E24" s="3" t="s">
        <v>111</v>
      </c>
    </row>
    <row r="25" spans="1:5">
      <c r="A25" s="5" t="s">
        <v>110</v>
      </c>
      <c r="B25" s="3" t="s">
        <v>180</v>
      </c>
      <c r="D25" s="3" t="s">
        <v>109</v>
      </c>
      <c r="E25" s="3">
        <v>139</v>
      </c>
    </row>
    <row r="26" spans="1:5">
      <c r="A26" s="5" t="s">
        <v>108</v>
      </c>
      <c r="B26" s="3">
        <v>21</v>
      </c>
      <c r="E26" s="3" t="s">
        <v>107</v>
      </c>
    </row>
    <row r="27" spans="1:5">
      <c r="A27" s="5" t="s">
        <v>106</v>
      </c>
      <c r="B27" s="3">
        <v>22</v>
      </c>
      <c r="D27" s="3" t="s">
        <v>105</v>
      </c>
      <c r="E27" s="3" t="s">
        <v>104</v>
      </c>
    </row>
    <row r="28" spans="1:5">
      <c r="A28" s="5"/>
    </row>
    <row r="29" spans="1:5">
      <c r="A29" s="5" t="s">
        <v>103</v>
      </c>
      <c r="D29" s="3">
        <v>79</v>
      </c>
    </row>
    <row r="30" spans="1:5">
      <c r="A30" s="5" t="s">
        <v>102</v>
      </c>
      <c r="D30" s="3">
        <v>83</v>
      </c>
    </row>
    <row r="32" spans="1:5">
      <c r="A32" s="5" t="s">
        <v>101</v>
      </c>
      <c r="E32" s="3" t="s">
        <v>100</v>
      </c>
    </row>
    <row r="33" spans="1:5">
      <c r="A33" s="5" t="s">
        <v>99</v>
      </c>
      <c r="E33" s="3">
        <v>142</v>
      </c>
    </row>
    <row r="34" spans="1:5">
      <c r="A34" s="5" t="s">
        <v>98</v>
      </c>
      <c r="E34" s="3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C050-E39F-4E43-B6D2-85F3F9FA265F}">
  <dimension ref="A1:H73"/>
  <sheetViews>
    <sheetView topLeftCell="A45" zoomScale="110" zoomScaleNormal="110" workbookViewId="0">
      <selection activeCell="E56" sqref="E56"/>
    </sheetView>
  </sheetViews>
  <sheetFormatPr baseColWidth="10" defaultRowHeight="16"/>
  <cols>
    <col min="1" max="1" width="15.25" style="1" customWidth="1"/>
    <col min="2" max="2" width="18.125" style="1" customWidth="1"/>
    <col min="3" max="3" width="25.375" style="1" customWidth="1"/>
    <col min="4" max="4" width="15.75" style="1" customWidth="1"/>
    <col min="5" max="5" width="33.625" style="1" customWidth="1"/>
    <col min="6" max="7" width="10.625" style="1"/>
    <col min="8" max="8" width="13.625" style="1" customWidth="1"/>
    <col min="9" max="16384" width="10.625" style="1"/>
  </cols>
  <sheetData>
    <row r="1" spans="1:8" ht="26">
      <c r="A1" s="19" t="s">
        <v>97</v>
      </c>
      <c r="C1" s="13"/>
      <c r="D1" s="13"/>
      <c r="E1" s="34" t="s">
        <v>96</v>
      </c>
    </row>
    <row r="2" spans="1:8" ht="18">
      <c r="E2" s="34" t="s">
        <v>95</v>
      </c>
    </row>
    <row r="3" spans="1:8" ht="18">
      <c r="G3" s="18"/>
      <c r="H3" s="3" t="s">
        <v>94</v>
      </c>
    </row>
    <row r="4" spans="1:8" ht="18">
      <c r="G4" s="17"/>
      <c r="H4" s="3" t="s">
        <v>93</v>
      </c>
    </row>
    <row r="5" spans="1:8" ht="18">
      <c r="A5" s="3"/>
      <c r="B5" s="3"/>
      <c r="C5" s="5" t="s">
        <v>92</v>
      </c>
      <c r="D5" s="5" t="s">
        <v>91</v>
      </c>
      <c r="E5" s="5" t="s">
        <v>90</v>
      </c>
      <c r="G5" s="16"/>
      <c r="H5" s="3" t="s">
        <v>89</v>
      </c>
    </row>
    <row r="6" spans="1:8" ht="18">
      <c r="A6" s="28">
        <v>58</v>
      </c>
      <c r="B6" s="3" t="s">
        <v>88</v>
      </c>
      <c r="C6" s="3"/>
      <c r="D6" s="3"/>
      <c r="E6" s="3"/>
      <c r="G6" s="15"/>
      <c r="H6" s="3" t="s">
        <v>87</v>
      </c>
    </row>
    <row r="7" spans="1:8" ht="18">
      <c r="A7" s="5">
        <f t="shared" ref="A7:A38" si="0">A6+1</f>
        <v>59</v>
      </c>
      <c r="B7" s="3" t="s">
        <v>86</v>
      </c>
      <c r="C7" s="3"/>
      <c r="D7" s="3"/>
      <c r="E7" s="3"/>
    </row>
    <row r="8" spans="1:8" ht="18">
      <c r="A8" s="5">
        <f t="shared" si="0"/>
        <v>60</v>
      </c>
      <c r="B8" s="3" t="s">
        <v>86</v>
      </c>
      <c r="C8" s="3"/>
      <c r="D8" s="3"/>
      <c r="E8" s="3"/>
    </row>
    <row r="9" spans="1:8" ht="18">
      <c r="A9" s="5">
        <f t="shared" si="0"/>
        <v>61</v>
      </c>
      <c r="B9" s="3" t="s">
        <v>83</v>
      </c>
      <c r="C9" s="3" t="s">
        <v>82</v>
      </c>
      <c r="D9" s="3">
        <v>9</v>
      </c>
      <c r="E9" s="3"/>
    </row>
    <row r="10" spans="1:8" ht="18">
      <c r="A10" s="5">
        <f t="shared" si="0"/>
        <v>62</v>
      </c>
      <c r="B10" s="3" t="s">
        <v>83</v>
      </c>
      <c r="C10" s="3" t="s">
        <v>85</v>
      </c>
      <c r="D10" s="3">
        <v>9</v>
      </c>
      <c r="E10" s="3" t="s">
        <v>84</v>
      </c>
    </row>
    <row r="11" spans="1:8" ht="18">
      <c r="A11" s="5">
        <f t="shared" si="0"/>
        <v>63</v>
      </c>
      <c r="B11" s="3" t="s">
        <v>83</v>
      </c>
      <c r="C11" s="3" t="s">
        <v>82</v>
      </c>
      <c r="D11" s="3">
        <v>9</v>
      </c>
      <c r="E11" s="3"/>
    </row>
    <row r="12" spans="1:8" ht="18">
      <c r="A12" s="29">
        <f t="shared" si="0"/>
        <v>64</v>
      </c>
      <c r="B12" s="3" t="s">
        <v>75</v>
      </c>
      <c r="C12" s="3" t="s">
        <v>59</v>
      </c>
      <c r="D12" s="3">
        <v>8</v>
      </c>
      <c r="E12" s="3" t="s">
        <v>81</v>
      </c>
    </row>
    <row r="13" spans="1:8" ht="18">
      <c r="A13" s="29">
        <f t="shared" si="0"/>
        <v>65</v>
      </c>
      <c r="B13" s="3" t="s">
        <v>75</v>
      </c>
      <c r="C13" s="3" t="s">
        <v>80</v>
      </c>
      <c r="D13" s="3">
        <v>8</v>
      </c>
      <c r="E13" s="3" t="s">
        <v>79</v>
      </c>
    </row>
    <row r="14" spans="1:8" ht="18">
      <c r="A14" s="30">
        <f t="shared" si="0"/>
        <v>66</v>
      </c>
      <c r="B14" s="3" t="s">
        <v>75</v>
      </c>
      <c r="C14" s="3" t="s">
        <v>59</v>
      </c>
      <c r="D14" s="3">
        <v>8</v>
      </c>
      <c r="E14" s="3" t="s">
        <v>46</v>
      </c>
    </row>
    <row r="15" spans="1:8" ht="18">
      <c r="A15" s="29">
        <f t="shared" si="0"/>
        <v>67</v>
      </c>
      <c r="B15" s="3" t="s">
        <v>75</v>
      </c>
      <c r="C15" s="3" t="s">
        <v>59</v>
      </c>
      <c r="D15" s="3">
        <v>8</v>
      </c>
      <c r="E15" s="3" t="s">
        <v>78</v>
      </c>
    </row>
    <row r="16" spans="1:8" ht="18">
      <c r="A16" s="30">
        <f t="shared" si="0"/>
        <v>68</v>
      </c>
      <c r="B16" s="3" t="s">
        <v>75</v>
      </c>
      <c r="C16" s="3" t="s">
        <v>77</v>
      </c>
      <c r="D16" s="3">
        <v>8</v>
      </c>
      <c r="E16" s="3" t="s">
        <v>76</v>
      </c>
    </row>
    <row r="17" spans="1:5" ht="18">
      <c r="A17" s="29">
        <f t="shared" si="0"/>
        <v>69</v>
      </c>
      <c r="B17" s="3" t="s">
        <v>75</v>
      </c>
      <c r="C17" s="3" t="s">
        <v>59</v>
      </c>
      <c r="D17" s="3">
        <v>8</v>
      </c>
      <c r="E17" s="3" t="s">
        <v>74</v>
      </c>
    </row>
    <row r="18" spans="1:5" ht="18">
      <c r="A18" s="5">
        <f t="shared" si="0"/>
        <v>70</v>
      </c>
      <c r="B18" s="3" t="s">
        <v>57</v>
      </c>
      <c r="C18" s="3"/>
      <c r="D18" s="3"/>
      <c r="E18" s="3" t="s">
        <v>60</v>
      </c>
    </row>
    <row r="19" spans="1:5" ht="18">
      <c r="A19" s="30">
        <f t="shared" si="0"/>
        <v>71</v>
      </c>
      <c r="B19" s="3" t="s">
        <v>57</v>
      </c>
      <c r="C19" s="3" t="s">
        <v>59</v>
      </c>
      <c r="D19" s="3">
        <v>6</v>
      </c>
      <c r="E19" s="3" t="s">
        <v>73</v>
      </c>
    </row>
    <row r="20" spans="1:5" ht="18">
      <c r="A20" s="31">
        <f t="shared" si="0"/>
        <v>72</v>
      </c>
      <c r="B20" s="3" t="s">
        <v>57</v>
      </c>
      <c r="C20" s="3" t="s">
        <v>59</v>
      </c>
      <c r="D20" s="3">
        <v>6.5</v>
      </c>
      <c r="E20" s="3" t="s">
        <v>72</v>
      </c>
    </row>
    <row r="21" spans="1:5" ht="18">
      <c r="A21" s="30">
        <f t="shared" si="0"/>
        <v>73</v>
      </c>
      <c r="B21" s="3" t="s">
        <v>57</v>
      </c>
      <c r="C21" s="3" t="s">
        <v>59</v>
      </c>
      <c r="D21" s="3">
        <v>6</v>
      </c>
      <c r="E21" s="3" t="s">
        <v>58</v>
      </c>
    </row>
    <row r="22" spans="1:5" ht="18">
      <c r="A22" s="30">
        <f t="shared" si="0"/>
        <v>74</v>
      </c>
      <c r="B22" s="3" t="s">
        <v>57</v>
      </c>
      <c r="C22" s="3" t="s">
        <v>59</v>
      </c>
      <c r="D22" s="3">
        <v>6</v>
      </c>
      <c r="E22" s="3" t="s">
        <v>58</v>
      </c>
    </row>
    <row r="23" spans="1:5" ht="18">
      <c r="A23" s="30">
        <f t="shared" si="0"/>
        <v>75</v>
      </c>
      <c r="B23" s="3" t="s">
        <v>57</v>
      </c>
      <c r="C23" s="3" t="s">
        <v>59</v>
      </c>
      <c r="D23" s="3">
        <v>6</v>
      </c>
      <c r="E23" s="3" t="s">
        <v>58</v>
      </c>
    </row>
    <row r="24" spans="1:5" ht="18">
      <c r="A24" s="30">
        <f t="shared" si="0"/>
        <v>76</v>
      </c>
      <c r="B24" s="3" t="s">
        <v>57</v>
      </c>
      <c r="C24" s="3" t="s">
        <v>59</v>
      </c>
      <c r="D24" s="3">
        <v>7</v>
      </c>
      <c r="E24" s="3" t="s">
        <v>71</v>
      </c>
    </row>
    <row r="25" spans="1:5" ht="18">
      <c r="A25" s="30">
        <f t="shared" si="0"/>
        <v>77</v>
      </c>
      <c r="B25" s="3" t="s">
        <v>57</v>
      </c>
      <c r="C25" s="3" t="s">
        <v>59</v>
      </c>
      <c r="D25" s="3">
        <v>7</v>
      </c>
      <c r="E25" s="3"/>
    </row>
    <row r="26" spans="1:5" ht="18">
      <c r="A26" s="31">
        <f t="shared" si="0"/>
        <v>78</v>
      </c>
      <c r="B26" s="3" t="s">
        <v>57</v>
      </c>
      <c r="C26" s="3" t="s">
        <v>70</v>
      </c>
      <c r="D26" s="3">
        <v>7</v>
      </c>
      <c r="E26" s="3" t="s">
        <v>69</v>
      </c>
    </row>
    <row r="27" spans="1:5" ht="18">
      <c r="A27" s="5">
        <f t="shared" si="0"/>
        <v>79</v>
      </c>
      <c r="B27" s="3" t="s">
        <v>68</v>
      </c>
      <c r="C27" s="3" t="s">
        <v>67</v>
      </c>
      <c r="D27" s="3">
        <v>10</v>
      </c>
      <c r="E27" s="3" t="s">
        <v>66</v>
      </c>
    </row>
    <row r="28" spans="1:5" ht="18">
      <c r="A28" s="5">
        <f t="shared" si="0"/>
        <v>80</v>
      </c>
      <c r="B28" s="3"/>
      <c r="C28" s="3"/>
      <c r="D28" s="3">
        <v>10</v>
      </c>
      <c r="E28" s="3" t="s">
        <v>60</v>
      </c>
    </row>
    <row r="29" spans="1:5" ht="18">
      <c r="A29" s="5">
        <f t="shared" si="0"/>
        <v>81</v>
      </c>
      <c r="B29" s="3"/>
      <c r="C29" s="3"/>
      <c r="D29" s="3">
        <v>10</v>
      </c>
      <c r="E29" s="3" t="s">
        <v>60</v>
      </c>
    </row>
    <row r="30" spans="1:5" ht="18">
      <c r="A30" s="5">
        <f t="shared" si="0"/>
        <v>82</v>
      </c>
      <c r="B30" s="3" t="s">
        <v>65</v>
      </c>
      <c r="C30" s="3" t="s">
        <v>64</v>
      </c>
      <c r="D30" s="3">
        <v>10</v>
      </c>
      <c r="E30" s="3" t="s">
        <v>63</v>
      </c>
    </row>
    <row r="31" spans="1:5" ht="18">
      <c r="A31" s="5">
        <f t="shared" si="0"/>
        <v>83</v>
      </c>
      <c r="B31" s="3" t="s">
        <v>62</v>
      </c>
      <c r="C31" s="3" t="s">
        <v>61</v>
      </c>
      <c r="D31" s="3">
        <v>10</v>
      </c>
      <c r="E31" s="3" t="s">
        <v>60</v>
      </c>
    </row>
    <row r="32" spans="1:5" ht="18">
      <c r="A32" s="31">
        <f t="shared" si="0"/>
        <v>84</v>
      </c>
      <c r="B32" s="3" t="s">
        <v>57</v>
      </c>
      <c r="C32" s="3" t="s">
        <v>59</v>
      </c>
      <c r="D32" s="3">
        <v>10</v>
      </c>
      <c r="E32" s="3" t="s">
        <v>58</v>
      </c>
    </row>
    <row r="33" spans="1:5" ht="18">
      <c r="A33" s="31">
        <f t="shared" si="0"/>
        <v>85</v>
      </c>
      <c r="B33" s="3" t="s">
        <v>57</v>
      </c>
      <c r="C33" s="3" t="s">
        <v>56</v>
      </c>
      <c r="D33" s="3">
        <v>9.5</v>
      </c>
      <c r="E33" s="3" t="s">
        <v>55</v>
      </c>
    </row>
    <row r="34" spans="1:5" ht="18">
      <c r="A34" s="5">
        <f t="shared" si="0"/>
        <v>86</v>
      </c>
      <c r="B34" s="3"/>
      <c r="C34" s="3"/>
      <c r="D34" s="3"/>
      <c r="E34" s="3" t="s">
        <v>54</v>
      </c>
    </row>
    <row r="35" spans="1:5" ht="18">
      <c r="A35" s="5">
        <f t="shared" si="0"/>
        <v>87</v>
      </c>
      <c r="B35" s="3" t="s">
        <v>37</v>
      </c>
      <c r="C35" s="3" t="s">
        <v>53</v>
      </c>
      <c r="D35" s="3">
        <v>8</v>
      </c>
      <c r="E35" s="3"/>
    </row>
    <row r="36" spans="1:5" ht="18">
      <c r="A36" s="5">
        <f t="shared" si="0"/>
        <v>88</v>
      </c>
      <c r="B36" s="3" t="s">
        <v>37</v>
      </c>
      <c r="C36" s="3" t="s">
        <v>52</v>
      </c>
      <c r="D36" s="3">
        <v>9</v>
      </c>
      <c r="E36" s="3"/>
    </row>
    <row r="37" spans="1:5" ht="18">
      <c r="A37" s="5">
        <f t="shared" si="0"/>
        <v>89</v>
      </c>
      <c r="B37" s="3" t="s">
        <v>37</v>
      </c>
      <c r="C37" s="3" t="s">
        <v>51</v>
      </c>
      <c r="D37" s="3">
        <v>9</v>
      </c>
      <c r="E37" s="3" t="s">
        <v>47</v>
      </c>
    </row>
    <row r="38" spans="1:5" ht="18">
      <c r="A38" s="5">
        <f t="shared" si="0"/>
        <v>90</v>
      </c>
      <c r="B38" s="3" t="s">
        <v>40</v>
      </c>
      <c r="C38" s="3" t="s">
        <v>50</v>
      </c>
      <c r="D38" s="3">
        <v>9</v>
      </c>
      <c r="E38" s="3" t="s">
        <v>49</v>
      </c>
    </row>
    <row r="39" spans="1:5" ht="18">
      <c r="A39" s="5">
        <f t="shared" ref="A39:A73" si="1">A38+1</f>
        <v>91</v>
      </c>
      <c r="B39" s="3" t="s">
        <v>37</v>
      </c>
      <c r="C39" s="3" t="s">
        <v>48</v>
      </c>
      <c r="D39" s="3">
        <v>9</v>
      </c>
      <c r="E39" s="3"/>
    </row>
    <row r="40" spans="1:5" ht="18">
      <c r="A40" s="30">
        <f t="shared" si="1"/>
        <v>92</v>
      </c>
      <c r="B40" s="3" t="s">
        <v>37</v>
      </c>
      <c r="C40" s="3" t="s">
        <v>38</v>
      </c>
      <c r="D40" s="3">
        <v>6.5</v>
      </c>
      <c r="E40" s="3" t="s">
        <v>47</v>
      </c>
    </row>
    <row r="41" spans="1:5" ht="18">
      <c r="A41" s="30">
        <f t="shared" si="1"/>
        <v>93</v>
      </c>
      <c r="B41" s="3" t="s">
        <v>37</v>
      </c>
      <c r="C41" s="3" t="s">
        <v>38</v>
      </c>
      <c r="D41" s="3">
        <v>6.5</v>
      </c>
      <c r="E41" s="3"/>
    </row>
    <row r="42" spans="1:5" ht="18">
      <c r="A42" s="30">
        <f t="shared" si="1"/>
        <v>94</v>
      </c>
      <c r="B42" s="3" t="s">
        <v>37</v>
      </c>
      <c r="C42" s="3" t="s">
        <v>38</v>
      </c>
      <c r="D42" s="3">
        <v>10</v>
      </c>
      <c r="E42" s="3"/>
    </row>
    <row r="43" spans="1:5" ht="18">
      <c r="A43" s="31">
        <f t="shared" si="1"/>
        <v>95</v>
      </c>
      <c r="B43" s="3" t="s">
        <v>37</v>
      </c>
      <c r="C43" s="3" t="s">
        <v>38</v>
      </c>
      <c r="D43" s="3">
        <v>9.5</v>
      </c>
      <c r="E43" s="3" t="s">
        <v>179</v>
      </c>
    </row>
    <row r="44" spans="1:5" ht="18">
      <c r="A44" s="30">
        <f t="shared" si="1"/>
        <v>96</v>
      </c>
      <c r="B44" s="3" t="s">
        <v>37</v>
      </c>
      <c r="C44" s="3" t="s">
        <v>38</v>
      </c>
      <c r="D44" s="3">
        <v>9.5</v>
      </c>
      <c r="E44" s="3"/>
    </row>
    <row r="45" spans="1:5" ht="18">
      <c r="A45" s="31">
        <f t="shared" si="1"/>
        <v>97</v>
      </c>
      <c r="B45" s="3" t="s">
        <v>37</v>
      </c>
      <c r="C45" s="3" t="s">
        <v>38</v>
      </c>
      <c r="D45" s="3">
        <v>9</v>
      </c>
      <c r="E45" s="3" t="s">
        <v>179</v>
      </c>
    </row>
    <row r="46" spans="1:5" ht="18">
      <c r="A46" s="30">
        <f t="shared" si="1"/>
        <v>98</v>
      </c>
      <c r="B46" s="3" t="s">
        <v>37</v>
      </c>
      <c r="C46" s="3" t="s">
        <v>38</v>
      </c>
      <c r="D46" s="3">
        <v>9</v>
      </c>
      <c r="E46" s="3"/>
    </row>
    <row r="47" spans="1:5" ht="18">
      <c r="A47" s="30">
        <f t="shared" si="1"/>
        <v>99</v>
      </c>
      <c r="B47" s="3" t="s">
        <v>37</v>
      </c>
      <c r="C47" s="3" t="s">
        <v>38</v>
      </c>
      <c r="D47" s="3">
        <v>9</v>
      </c>
      <c r="E47" s="3"/>
    </row>
    <row r="48" spans="1:5" ht="18">
      <c r="A48" s="30">
        <f t="shared" si="1"/>
        <v>100</v>
      </c>
      <c r="B48" s="3" t="s">
        <v>37</v>
      </c>
      <c r="C48" s="3" t="s">
        <v>38</v>
      </c>
      <c r="D48" s="3">
        <v>9</v>
      </c>
      <c r="E48" s="3"/>
    </row>
    <row r="49" spans="1:5" ht="18">
      <c r="A49" s="30">
        <f t="shared" si="1"/>
        <v>101</v>
      </c>
      <c r="B49" s="3" t="s">
        <v>37</v>
      </c>
      <c r="C49" s="3" t="s">
        <v>38</v>
      </c>
      <c r="D49" s="3">
        <v>10</v>
      </c>
      <c r="E49" s="3"/>
    </row>
    <row r="50" spans="1:5" ht="18">
      <c r="A50" s="30">
        <f t="shared" si="1"/>
        <v>102</v>
      </c>
      <c r="B50" s="3" t="s">
        <v>37</v>
      </c>
      <c r="C50" s="3" t="s">
        <v>38</v>
      </c>
      <c r="D50" s="3">
        <v>10</v>
      </c>
      <c r="E50" s="3"/>
    </row>
    <row r="51" spans="1:5" ht="18">
      <c r="A51" s="30">
        <f t="shared" si="1"/>
        <v>103</v>
      </c>
      <c r="B51" s="3" t="s">
        <v>37</v>
      </c>
      <c r="C51" s="3" t="s">
        <v>38</v>
      </c>
      <c r="D51" s="3">
        <v>10</v>
      </c>
      <c r="E51" s="3" t="s">
        <v>46</v>
      </c>
    </row>
    <row r="52" spans="1:5" ht="18">
      <c r="A52" s="30">
        <f t="shared" si="1"/>
        <v>104</v>
      </c>
      <c r="B52" s="3" t="s">
        <v>37</v>
      </c>
      <c r="C52" s="3" t="s">
        <v>38</v>
      </c>
      <c r="D52" s="3">
        <v>10</v>
      </c>
      <c r="E52" s="3"/>
    </row>
    <row r="53" spans="1:5" ht="18">
      <c r="A53" s="30">
        <f t="shared" si="1"/>
        <v>105</v>
      </c>
      <c r="B53" s="3" t="s">
        <v>37</v>
      </c>
      <c r="C53" s="3" t="s">
        <v>38</v>
      </c>
      <c r="D53" s="3">
        <v>10</v>
      </c>
      <c r="E53" s="3" t="s">
        <v>45</v>
      </c>
    </row>
    <row r="54" spans="1:5" ht="18">
      <c r="A54" s="30">
        <f t="shared" si="1"/>
        <v>106</v>
      </c>
      <c r="B54" s="3" t="s">
        <v>37</v>
      </c>
      <c r="C54" s="3" t="s">
        <v>38</v>
      </c>
      <c r="D54" s="3">
        <v>10</v>
      </c>
      <c r="E54" s="3"/>
    </row>
    <row r="55" spans="1:5" ht="18">
      <c r="A55" s="30">
        <f t="shared" si="1"/>
        <v>107</v>
      </c>
      <c r="B55" s="3" t="s">
        <v>37</v>
      </c>
      <c r="C55" s="3" t="s">
        <v>38</v>
      </c>
      <c r="D55" s="3">
        <v>10</v>
      </c>
      <c r="E55" s="3"/>
    </row>
    <row r="56" spans="1:5" ht="18">
      <c r="A56" s="31">
        <f t="shared" si="1"/>
        <v>108</v>
      </c>
      <c r="B56" s="3" t="s">
        <v>37</v>
      </c>
      <c r="C56" s="3" t="s">
        <v>38</v>
      </c>
      <c r="D56" s="3">
        <v>10</v>
      </c>
      <c r="E56" s="3" t="s">
        <v>44</v>
      </c>
    </row>
    <row r="57" spans="1:5" ht="18">
      <c r="A57" s="30">
        <f t="shared" si="1"/>
        <v>109</v>
      </c>
      <c r="B57" s="3" t="s">
        <v>37</v>
      </c>
      <c r="C57" s="3" t="s">
        <v>43</v>
      </c>
      <c r="D57" s="3">
        <v>10</v>
      </c>
      <c r="E57" s="3" t="s">
        <v>42</v>
      </c>
    </row>
    <row r="58" spans="1:5" ht="18">
      <c r="A58" s="30">
        <f t="shared" si="1"/>
        <v>110</v>
      </c>
      <c r="B58" s="3" t="s">
        <v>37</v>
      </c>
      <c r="C58" s="3" t="s">
        <v>38</v>
      </c>
      <c r="D58" s="3">
        <v>10</v>
      </c>
      <c r="E58" s="3"/>
    </row>
    <row r="59" spans="1:5" ht="18">
      <c r="A59" s="30">
        <f t="shared" si="1"/>
        <v>111</v>
      </c>
      <c r="B59" s="3" t="s">
        <v>37</v>
      </c>
      <c r="C59" s="3" t="s">
        <v>38</v>
      </c>
      <c r="D59" s="3">
        <v>10</v>
      </c>
      <c r="E59" s="3"/>
    </row>
    <row r="60" spans="1:5" ht="18">
      <c r="A60" s="30">
        <f t="shared" si="1"/>
        <v>112</v>
      </c>
      <c r="B60" s="3" t="s">
        <v>37</v>
      </c>
      <c r="C60" s="3" t="s">
        <v>38</v>
      </c>
      <c r="D60" s="3">
        <v>10</v>
      </c>
      <c r="E60" s="3"/>
    </row>
    <row r="61" spans="1:5" ht="18">
      <c r="A61" s="30">
        <f t="shared" si="1"/>
        <v>113</v>
      </c>
      <c r="B61" s="3" t="s">
        <v>37</v>
      </c>
      <c r="C61" s="3" t="s">
        <v>38</v>
      </c>
      <c r="D61" s="3">
        <v>10</v>
      </c>
      <c r="E61" s="3"/>
    </row>
    <row r="62" spans="1:5" ht="18">
      <c r="A62" s="30">
        <f t="shared" si="1"/>
        <v>114</v>
      </c>
      <c r="B62" s="3" t="s">
        <v>37</v>
      </c>
      <c r="C62" s="3" t="s">
        <v>38</v>
      </c>
      <c r="D62" s="3">
        <v>10</v>
      </c>
      <c r="E62" s="3"/>
    </row>
    <row r="63" spans="1:5" ht="18">
      <c r="A63" s="30">
        <f t="shared" si="1"/>
        <v>115</v>
      </c>
      <c r="B63" s="3" t="s">
        <v>37</v>
      </c>
      <c r="C63" s="32" t="s">
        <v>38</v>
      </c>
      <c r="D63" s="3">
        <v>10</v>
      </c>
      <c r="E63" s="3"/>
    </row>
    <row r="64" spans="1:5" ht="18">
      <c r="A64" s="30">
        <f t="shared" si="1"/>
        <v>116</v>
      </c>
      <c r="B64" s="3" t="s">
        <v>37</v>
      </c>
      <c r="C64" s="32" t="s">
        <v>38</v>
      </c>
      <c r="D64" s="3">
        <v>10</v>
      </c>
      <c r="E64" s="3"/>
    </row>
    <row r="65" spans="1:5" ht="18">
      <c r="A65" s="30">
        <f t="shared" si="1"/>
        <v>117</v>
      </c>
      <c r="B65" s="3" t="s">
        <v>37</v>
      </c>
      <c r="C65" s="32" t="s">
        <v>38</v>
      </c>
      <c r="D65" s="3">
        <v>9</v>
      </c>
      <c r="E65" s="3"/>
    </row>
    <row r="66" spans="1:5" ht="18">
      <c r="A66" s="30">
        <f t="shared" si="1"/>
        <v>118</v>
      </c>
      <c r="B66" s="3" t="s">
        <v>37</v>
      </c>
      <c r="C66" s="32" t="s">
        <v>38</v>
      </c>
      <c r="D66" s="3">
        <v>10</v>
      </c>
      <c r="E66" s="3"/>
    </row>
    <row r="67" spans="1:5" ht="18">
      <c r="A67" s="30">
        <f t="shared" si="1"/>
        <v>119</v>
      </c>
      <c r="B67" s="3" t="s">
        <v>37</v>
      </c>
      <c r="C67" s="32" t="s">
        <v>38</v>
      </c>
      <c r="D67" s="3">
        <v>10</v>
      </c>
      <c r="E67" s="3"/>
    </row>
    <row r="68" spans="1:5" ht="18">
      <c r="A68" s="5">
        <f t="shared" si="1"/>
        <v>120</v>
      </c>
      <c r="B68" s="3" t="s">
        <v>40</v>
      </c>
      <c r="C68" s="32" t="s">
        <v>36</v>
      </c>
      <c r="D68" s="3">
        <v>10</v>
      </c>
      <c r="E68" s="3" t="s">
        <v>41</v>
      </c>
    </row>
    <row r="69" spans="1:5" ht="18">
      <c r="A69" s="33">
        <f t="shared" si="1"/>
        <v>121</v>
      </c>
      <c r="B69" s="3" t="s">
        <v>40</v>
      </c>
      <c r="C69" s="32" t="s">
        <v>39</v>
      </c>
      <c r="D69" s="3">
        <v>10</v>
      </c>
      <c r="E69" s="3"/>
    </row>
    <row r="70" spans="1:5" ht="18">
      <c r="A70" s="30">
        <f t="shared" si="1"/>
        <v>122</v>
      </c>
      <c r="B70" s="3" t="s">
        <v>37</v>
      </c>
      <c r="C70" s="32" t="s">
        <v>38</v>
      </c>
      <c r="D70" s="3">
        <v>10</v>
      </c>
      <c r="E70" s="3"/>
    </row>
    <row r="71" spans="1:5" ht="18">
      <c r="A71" s="30">
        <f t="shared" si="1"/>
        <v>123</v>
      </c>
      <c r="B71" s="3" t="s">
        <v>37</v>
      </c>
      <c r="C71" s="32" t="s">
        <v>38</v>
      </c>
      <c r="D71" s="3">
        <v>10</v>
      </c>
      <c r="E71" s="3"/>
    </row>
    <row r="72" spans="1:5" ht="18">
      <c r="A72" s="30">
        <f t="shared" si="1"/>
        <v>124</v>
      </c>
      <c r="B72" s="3" t="s">
        <v>37</v>
      </c>
      <c r="C72" s="32" t="s">
        <v>38</v>
      </c>
      <c r="D72" s="3">
        <v>10</v>
      </c>
      <c r="E72" s="3"/>
    </row>
    <row r="73" spans="1:5" ht="18">
      <c r="A73" s="31">
        <f t="shared" si="1"/>
        <v>125</v>
      </c>
      <c r="B73" s="3" t="s">
        <v>37</v>
      </c>
      <c r="C73" s="32" t="s">
        <v>36</v>
      </c>
      <c r="D73" s="3">
        <v>10</v>
      </c>
      <c r="E73" s="3" t="s">
        <v>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FCE4E-1904-9441-B800-76A5932E8BAB}">
  <dimension ref="A1:AC103"/>
  <sheetViews>
    <sheetView zoomScaleNormal="100" workbookViewId="0">
      <selection activeCell="G46" sqref="G46"/>
    </sheetView>
  </sheetViews>
  <sheetFormatPr baseColWidth="10" defaultRowHeight="18"/>
  <cols>
    <col min="1" max="1" width="13.125" style="2" customWidth="1"/>
    <col min="2" max="2" width="19.25" style="2" customWidth="1"/>
    <col min="3" max="3" width="10.625" style="2"/>
    <col min="4" max="4" width="21.125" style="2" customWidth="1"/>
    <col min="5" max="5" width="16.125" style="2" customWidth="1"/>
    <col min="6" max="6" width="17.75" style="2" customWidth="1"/>
    <col min="7" max="7" width="13.25" style="2" customWidth="1"/>
    <col min="8" max="8" width="19.75" style="2" customWidth="1"/>
    <col min="9" max="9" width="22.5" style="2" customWidth="1"/>
    <col min="10" max="10" width="18.5" style="2" customWidth="1"/>
    <col min="11" max="11" width="18.625" style="2" customWidth="1"/>
    <col min="12" max="12" width="26.875" style="2" customWidth="1"/>
    <col min="13" max="13" width="22.125" style="2" customWidth="1"/>
    <col min="14" max="14" width="25.125" style="2" customWidth="1"/>
    <col min="15" max="15" width="13.5" style="2" customWidth="1"/>
    <col min="16" max="16" width="18.625" style="2" customWidth="1"/>
    <col min="17" max="17" width="17.625" style="2" customWidth="1"/>
    <col min="18" max="18" width="26.75" style="2" customWidth="1"/>
    <col min="19" max="19" width="11.875" style="2" bestFit="1" customWidth="1"/>
    <col min="20" max="20" width="8.25" style="2" bestFit="1" customWidth="1"/>
    <col min="21" max="21" width="9.625" style="2" bestFit="1" customWidth="1"/>
    <col min="22" max="23" width="10.625" style="2"/>
    <col min="24" max="24" width="9.75" style="2" bestFit="1" customWidth="1"/>
    <col min="25" max="25" width="8.25" style="2" bestFit="1" customWidth="1"/>
    <col min="26" max="26" width="10.625" style="2"/>
    <col min="27" max="27" width="8.75" style="2" bestFit="1" customWidth="1"/>
    <col min="28" max="16384" width="10.625" style="2"/>
  </cols>
  <sheetData>
    <row r="1" spans="1:29" ht="26">
      <c r="A1" s="40" t="s">
        <v>21</v>
      </c>
    </row>
    <row r="2" spans="1:29" ht="21">
      <c r="A2" s="42" t="s">
        <v>20</v>
      </c>
      <c r="B2" s="42"/>
      <c r="C2" s="47" t="s">
        <v>19</v>
      </c>
      <c r="D2" s="47"/>
      <c r="E2" s="47"/>
      <c r="F2" s="51" t="s">
        <v>18</v>
      </c>
      <c r="G2" s="52"/>
      <c r="H2" s="52"/>
      <c r="I2" s="73" t="s">
        <v>222</v>
      </c>
      <c r="J2" s="74"/>
      <c r="K2" s="74"/>
      <c r="L2" s="74"/>
      <c r="P2" s="55"/>
      <c r="Q2" s="55"/>
      <c r="R2" s="55"/>
    </row>
    <row r="3" spans="1:29">
      <c r="A3" s="43"/>
      <c r="B3" s="43"/>
      <c r="C3" s="48"/>
      <c r="D3" s="48"/>
      <c r="E3" s="48"/>
      <c r="F3" s="52"/>
      <c r="G3" s="52"/>
      <c r="H3" s="52"/>
      <c r="I3" s="74"/>
      <c r="J3" s="74"/>
      <c r="K3" s="74"/>
      <c r="L3" s="74"/>
    </row>
    <row r="4" spans="1:29">
      <c r="A4" s="43"/>
      <c r="B4" s="43"/>
      <c r="C4" s="48"/>
      <c r="D4" s="48"/>
      <c r="E4" s="48"/>
      <c r="F4" s="52"/>
      <c r="G4" s="52"/>
      <c r="H4" s="52"/>
      <c r="I4" s="74"/>
      <c r="J4" s="74"/>
      <c r="K4" s="74"/>
      <c r="L4" s="74"/>
    </row>
    <row r="5" spans="1:29">
      <c r="A5" s="44" t="s">
        <v>17</v>
      </c>
      <c r="B5" s="44" t="s">
        <v>16</v>
      </c>
      <c r="C5" s="49" t="s">
        <v>17</v>
      </c>
      <c r="D5" s="49" t="s">
        <v>16</v>
      </c>
      <c r="E5" s="49" t="s">
        <v>3</v>
      </c>
      <c r="F5" s="53" t="s">
        <v>17</v>
      </c>
      <c r="G5" s="53" t="s">
        <v>16</v>
      </c>
      <c r="H5" s="53" t="s">
        <v>2</v>
      </c>
      <c r="I5" s="75" t="s">
        <v>17</v>
      </c>
      <c r="J5" s="75" t="s">
        <v>16</v>
      </c>
      <c r="K5" s="75" t="s">
        <v>2</v>
      </c>
      <c r="L5" s="75" t="s">
        <v>3</v>
      </c>
      <c r="Q5" s="41"/>
      <c r="R5" s="41"/>
      <c r="AB5" s="41"/>
      <c r="AC5" s="41"/>
    </row>
    <row r="6" spans="1:29">
      <c r="A6" s="45"/>
      <c r="B6" s="43"/>
      <c r="C6" s="48"/>
      <c r="D6" s="48"/>
      <c r="E6" s="48"/>
      <c r="F6" s="52"/>
      <c r="G6" s="52"/>
      <c r="H6" s="52"/>
      <c r="I6" s="74"/>
      <c r="J6" s="74"/>
      <c r="K6" s="74"/>
      <c r="L6" s="74"/>
    </row>
    <row r="7" spans="1:29">
      <c r="A7" s="46">
        <v>1058.01</v>
      </c>
      <c r="B7" s="43">
        <f>(SQRT(2*PI())*A7*A9)</f>
        <v>2669.2495060400115</v>
      </c>
      <c r="C7" s="50">
        <v>738.24199999999996</v>
      </c>
      <c r="D7" s="48">
        <f>(SQRT(2*PI())*C7*C9)</f>
        <v>1782.2907549596653</v>
      </c>
      <c r="E7" s="48">
        <f>(D7/B7)*100</f>
        <v>66.771231049277162</v>
      </c>
      <c r="F7" s="54">
        <v>561.51599999999996</v>
      </c>
      <c r="G7" s="52">
        <f>(SQRT(2*PI())*F7*F9)</f>
        <v>1374.1158478273721</v>
      </c>
      <c r="H7" s="52">
        <f>(G7/B7)*100</f>
        <v>51.479483080094433</v>
      </c>
      <c r="I7" s="76">
        <v>401.11700000000002</v>
      </c>
      <c r="J7" s="74">
        <f>(SQRT(2*PI())*I7*I9)</f>
        <v>962.50638139837793</v>
      </c>
      <c r="K7" s="74">
        <f>J7/D7*100</f>
        <v>54.003892390731735</v>
      </c>
      <c r="L7" s="74">
        <f>J7/G7*100</f>
        <v>70.045504745484592</v>
      </c>
    </row>
    <row r="8" spans="1:29">
      <c r="A8" s="46">
        <v>216.70099999999999</v>
      </c>
      <c r="B8" s="43"/>
      <c r="C8" s="50">
        <v>216.60900000000001</v>
      </c>
      <c r="D8" s="48"/>
      <c r="E8" s="48">
        <f>SQRT(E83+G83)</f>
        <v>2.0424934544923345E-2</v>
      </c>
      <c r="F8" s="54">
        <v>216.63300000000001</v>
      </c>
      <c r="G8" s="52"/>
      <c r="H8" s="52">
        <f>SQRT(I83+J83)</f>
        <v>1.7092256847557566E-2</v>
      </c>
      <c r="I8" s="76">
        <v>216.619</v>
      </c>
      <c r="J8" s="74"/>
      <c r="K8" s="74"/>
      <c r="L8" s="74"/>
    </row>
    <row r="9" spans="1:29">
      <c r="A9" s="46">
        <v>1.0064900000000001</v>
      </c>
      <c r="B9" s="43"/>
      <c r="C9" s="50">
        <v>0.96314100000000002</v>
      </c>
      <c r="D9" s="48"/>
      <c r="E9" s="48"/>
      <c r="F9" s="54">
        <v>0.97627299999999995</v>
      </c>
      <c r="G9" s="52"/>
      <c r="H9" s="52"/>
      <c r="I9" s="76">
        <v>0.95728800000000003</v>
      </c>
      <c r="J9" s="74"/>
      <c r="K9" s="74"/>
      <c r="L9" s="74"/>
    </row>
    <row r="10" spans="1:29">
      <c r="A10" s="43"/>
      <c r="B10" s="43"/>
      <c r="C10" s="48"/>
      <c r="D10" s="48"/>
      <c r="E10" s="48"/>
      <c r="F10" s="52"/>
      <c r="G10" s="52"/>
      <c r="H10" s="52"/>
      <c r="I10" s="74"/>
      <c r="J10" s="74"/>
      <c r="K10" s="74"/>
      <c r="L10" s="74"/>
    </row>
    <row r="11" spans="1:29">
      <c r="A11" s="46">
        <v>245.422</v>
      </c>
      <c r="B11" s="43">
        <f>(SQRT(2*PI())*A11*A13)</f>
        <v>715.24718371007555</v>
      </c>
      <c r="C11" s="50">
        <v>175.57300000000001</v>
      </c>
      <c r="D11" s="48">
        <f>(SQRT(2*PI())*C11*C13)</f>
        <v>535.77757091808212</v>
      </c>
      <c r="E11" s="48">
        <f>(D11/B11)*100</f>
        <v>74.908029436612054</v>
      </c>
      <c r="F11" s="54">
        <v>151.24</v>
      </c>
      <c r="G11" s="52">
        <f>(SQRT(2*PI())*F11*F13)</f>
        <v>397.41310908551833</v>
      </c>
      <c r="H11" s="52">
        <f>(G11/B11)*100</f>
        <v>55.563044236551541</v>
      </c>
      <c r="I11" s="76">
        <v>105.4</v>
      </c>
      <c r="J11" s="74">
        <f>(SQRT(2*PI())*I11*I13)</f>
        <v>278.34117228252859</v>
      </c>
      <c r="K11" s="74">
        <f>J11/D11*100</f>
        <v>51.950881744746582</v>
      </c>
      <c r="L11" s="74">
        <f>J11/G11*100</f>
        <v>70.038246328364835</v>
      </c>
    </row>
    <row r="12" spans="1:29">
      <c r="A12" s="46">
        <v>530.25</v>
      </c>
      <c r="B12" s="43"/>
      <c r="C12" s="50">
        <v>530.38</v>
      </c>
      <c r="D12" s="48"/>
      <c r="E12" s="48">
        <f>SQRT(E87+G87)</f>
        <v>4.2799725287970131E-2</v>
      </c>
      <c r="F12" s="54">
        <v>530.279</v>
      </c>
      <c r="G12" s="52"/>
      <c r="H12" s="52">
        <f>SQRT(I87+J87)</f>
        <v>3.4763072531348541E-2</v>
      </c>
      <c r="I12" s="76">
        <v>530.30499999999995</v>
      </c>
      <c r="J12" s="74"/>
      <c r="K12" s="74"/>
      <c r="L12" s="74"/>
    </row>
    <row r="13" spans="1:29">
      <c r="A13" s="46">
        <v>1.16266</v>
      </c>
      <c r="B13" s="43"/>
      <c r="C13" s="50">
        <v>1.2174100000000001</v>
      </c>
      <c r="D13" s="48"/>
      <c r="E13" s="48"/>
      <c r="F13" s="54">
        <v>1.0483</v>
      </c>
      <c r="G13" s="52"/>
      <c r="H13" s="52"/>
      <c r="I13" s="76">
        <v>1.0535300000000001</v>
      </c>
      <c r="J13" s="74"/>
      <c r="K13" s="74"/>
      <c r="L13" s="74"/>
    </row>
    <row r="14" spans="1:29">
      <c r="A14" s="43"/>
      <c r="B14" s="43"/>
      <c r="C14" s="48"/>
      <c r="D14" s="48"/>
      <c r="E14" s="48"/>
      <c r="F14" s="52"/>
      <c r="G14" s="52"/>
      <c r="H14" s="52"/>
      <c r="I14" s="74"/>
      <c r="J14" s="74"/>
      <c r="K14" s="74"/>
      <c r="L14" s="74"/>
    </row>
    <row r="15" spans="1:29">
      <c r="A15" s="46">
        <v>987.40499999999997</v>
      </c>
      <c r="B15" s="43">
        <f>(SQRT(2*PI())*A15*A17)</f>
        <v>2595.0233184316107</v>
      </c>
      <c r="C15" s="50">
        <v>684.86599999999999</v>
      </c>
      <c r="D15" s="48">
        <f>(SQRT(2*PI())*C15*C17)</f>
        <v>1849.9207475762689</v>
      </c>
      <c r="E15" s="48">
        <f t="shared" ref="E15" si="0">(D15/B15)*100</f>
        <v>71.287249499335161</v>
      </c>
      <c r="F15" s="54">
        <v>525.327</v>
      </c>
      <c r="G15" s="52">
        <f>(SQRT(2*PI())*F15*F17)</f>
        <v>1441.0000415637455</v>
      </c>
      <c r="H15" s="52">
        <f>(G15/B15)*100</f>
        <v>55.529367745129242</v>
      </c>
      <c r="I15" s="76">
        <v>382.23</v>
      </c>
      <c r="J15" s="74">
        <f>(SQRT(2*PI())*I15*I17)</f>
        <v>1024.8791085481841</v>
      </c>
      <c r="K15" s="74">
        <f>J15/D15*100</f>
        <v>55.401244074426501</v>
      </c>
      <c r="L15" s="74">
        <f>J15/G15*100</f>
        <v>71.122767452248297</v>
      </c>
    </row>
    <row r="16" spans="1:29">
      <c r="A16" s="46">
        <v>711.36199999999997</v>
      </c>
      <c r="B16" s="43"/>
      <c r="C16" s="50">
        <v>711.38099999999997</v>
      </c>
      <c r="D16" s="48"/>
      <c r="E16" s="48">
        <f>SQRT(E91+G91)</f>
        <v>2.1691911040246252E-2</v>
      </c>
      <c r="F16" s="54">
        <v>711.38599999999997</v>
      </c>
      <c r="G16" s="52"/>
      <c r="H16" s="52">
        <f>SQRT(I91+J91)</f>
        <v>1.8243028442286497E-2</v>
      </c>
      <c r="I16" s="76">
        <v>711.39400000000001</v>
      </c>
      <c r="J16" s="74"/>
      <c r="K16" s="74"/>
      <c r="L16" s="74"/>
    </row>
    <row r="17" spans="1:12">
      <c r="A17" s="46">
        <v>1.04847</v>
      </c>
      <c r="B17" s="43"/>
      <c r="C17" s="50">
        <v>1.0775999999999999</v>
      </c>
      <c r="D17" s="48"/>
      <c r="E17" s="48"/>
      <c r="F17" s="54">
        <v>1.09432</v>
      </c>
      <c r="G17" s="52"/>
      <c r="H17" s="52"/>
      <c r="I17" s="76">
        <v>1.06969</v>
      </c>
      <c r="J17" s="74"/>
      <c r="K17" s="74"/>
      <c r="L17" s="74"/>
    </row>
    <row r="18" spans="1:12">
      <c r="A18" s="43"/>
      <c r="B18" s="43"/>
      <c r="C18" s="48"/>
      <c r="D18" s="48"/>
      <c r="E18" s="48"/>
      <c r="F18" s="52"/>
      <c r="G18" s="52"/>
      <c r="H18" s="52"/>
      <c r="I18" s="74"/>
      <c r="J18" s="74"/>
      <c r="K18" s="74"/>
      <c r="L18" s="74"/>
    </row>
    <row r="19" spans="1:12">
      <c r="A19" s="46">
        <v>406.65600000000001</v>
      </c>
      <c r="B19" s="43">
        <f>(SQRT(2*PI())*A19*A21)</f>
        <v>1191.5725348580847</v>
      </c>
      <c r="C19" s="50">
        <v>322.78899999999999</v>
      </c>
      <c r="D19" s="48">
        <f>(SQRT(2*PI())*C19*C21)</f>
        <v>907.54860421332216</v>
      </c>
      <c r="E19" s="48">
        <f>(D19/B19)*100</f>
        <v>76.163941150373233</v>
      </c>
      <c r="F19" s="52"/>
      <c r="G19" s="52"/>
      <c r="H19" s="52"/>
      <c r="I19" s="74"/>
      <c r="J19" s="74"/>
      <c r="K19" s="74"/>
      <c r="L19" s="74"/>
    </row>
    <row r="20" spans="1:12">
      <c r="A20" s="46">
        <v>867.30600000000004</v>
      </c>
      <c r="B20" s="43"/>
      <c r="C20" s="50">
        <v>867.21400000000006</v>
      </c>
      <c r="D20" s="48"/>
      <c r="E20" s="48">
        <f>SQRT(E95+G95)</f>
        <v>3.3556215214360058E-2</v>
      </c>
      <c r="F20" s="52"/>
      <c r="G20" s="52"/>
      <c r="H20" s="52"/>
      <c r="I20" s="74"/>
      <c r="J20" s="74"/>
      <c r="K20" s="74"/>
      <c r="L20" s="74"/>
    </row>
    <row r="21" spans="1:12">
      <c r="A21" s="46">
        <v>1.1689700000000001</v>
      </c>
      <c r="B21" s="43"/>
      <c r="C21" s="50">
        <v>1.1216600000000001</v>
      </c>
      <c r="D21" s="48"/>
      <c r="E21" s="48"/>
      <c r="F21" s="52"/>
      <c r="G21" s="52"/>
      <c r="H21" s="52"/>
      <c r="I21" s="74"/>
      <c r="J21" s="74"/>
      <c r="K21" s="74"/>
      <c r="L21" s="74"/>
    </row>
    <row r="22" spans="1:12">
      <c r="A22" s="43"/>
      <c r="B22" s="43"/>
      <c r="C22" s="48"/>
      <c r="D22" s="48"/>
      <c r="E22" s="48"/>
      <c r="F22" s="52"/>
      <c r="G22" s="52"/>
      <c r="H22" s="52"/>
      <c r="I22" s="74"/>
      <c r="J22" s="74"/>
      <c r="K22" s="74"/>
      <c r="L22" s="74"/>
    </row>
    <row r="23" spans="1:12">
      <c r="A23" s="43"/>
      <c r="B23" s="43"/>
      <c r="C23" s="71">
        <v>33.177500000000002</v>
      </c>
      <c r="D23" s="48">
        <f>(SQRT(2*PI())*C23*C25)</f>
        <v>113.03438283007834</v>
      </c>
      <c r="E23" s="48"/>
      <c r="F23" s="72">
        <v>24.886900000000001</v>
      </c>
      <c r="G23" s="52">
        <f>(SQRT(2*PI())*F23*F25)</f>
        <v>84.919027205917416</v>
      </c>
      <c r="H23" s="52"/>
      <c r="I23" s="76">
        <v>16.8231</v>
      </c>
      <c r="J23" s="74">
        <f>(SQRT(2*PI())*I23*I25)</f>
        <v>64.285768936783512</v>
      </c>
      <c r="K23" s="74">
        <f>J23/D23*100</f>
        <v>56.87275617138782</v>
      </c>
      <c r="L23" s="74">
        <f>J23/G23*100</f>
        <v>75.702432130903972</v>
      </c>
    </row>
    <row r="24" spans="1:12">
      <c r="A24" s="43"/>
      <c r="B24" s="43"/>
      <c r="C24" s="71">
        <v>1286.93</v>
      </c>
      <c r="D24" s="48"/>
      <c r="E24" s="48"/>
      <c r="F24" s="72">
        <v>1286.54</v>
      </c>
      <c r="G24" s="52"/>
      <c r="H24" s="52"/>
      <c r="I24" s="76">
        <v>1286.24</v>
      </c>
      <c r="J24" s="74"/>
      <c r="K24" s="74"/>
      <c r="L24" s="74"/>
    </row>
    <row r="25" spans="1:12">
      <c r="A25" s="43"/>
      <c r="B25" s="43"/>
      <c r="C25" s="71">
        <v>1.3591800000000001</v>
      </c>
      <c r="D25" s="48"/>
      <c r="E25" s="48"/>
      <c r="F25" s="72">
        <v>1.36127</v>
      </c>
      <c r="G25" s="52"/>
      <c r="H25" s="52"/>
      <c r="I25" s="76">
        <v>1.52447</v>
      </c>
      <c r="J25" s="74"/>
      <c r="K25" s="74"/>
      <c r="L25" s="74"/>
    </row>
    <row r="26" spans="1:12">
      <c r="A26" s="43"/>
      <c r="B26" s="43"/>
      <c r="C26" s="48"/>
      <c r="D26" s="48"/>
      <c r="E26" s="48"/>
      <c r="F26" s="52"/>
      <c r="G26" s="52"/>
      <c r="H26" s="52"/>
      <c r="I26" s="74"/>
      <c r="J26" s="74"/>
      <c r="K26" s="74"/>
      <c r="L26" s="74"/>
    </row>
    <row r="27" spans="1:12">
      <c r="A27" s="46">
        <v>2907.56</v>
      </c>
      <c r="B27" s="43">
        <f>(SQRT(2*PI())*A27*A29)</f>
        <v>9818.9898700592385</v>
      </c>
      <c r="C27" s="50">
        <v>2356.73</v>
      </c>
      <c r="D27" s="48">
        <f>(SQRT(2*PI())*C27*C29)</f>
        <v>7510.3724658742385</v>
      </c>
      <c r="E27" s="48">
        <f>(D27/B27)*100</f>
        <v>76.488239271693317</v>
      </c>
      <c r="F27" s="52"/>
      <c r="G27" s="52"/>
      <c r="H27" s="52"/>
      <c r="I27" s="74"/>
      <c r="J27" s="74"/>
      <c r="K27" s="74"/>
      <c r="L27" s="74"/>
    </row>
    <row r="28" spans="1:12">
      <c r="A28" s="46">
        <v>1348.5</v>
      </c>
      <c r="B28" s="43"/>
      <c r="C28" s="50">
        <v>1348.47</v>
      </c>
      <c r="D28" s="48"/>
      <c r="E28" s="48">
        <f>SQRT(E103+G103)</f>
        <v>1.1725241894856272E-2</v>
      </c>
      <c r="F28" s="52"/>
      <c r="G28" s="52"/>
      <c r="H28" s="52"/>
      <c r="I28" s="74"/>
      <c r="J28" s="74"/>
      <c r="K28" s="74"/>
      <c r="L28" s="74"/>
    </row>
    <row r="29" spans="1:12">
      <c r="A29" s="46">
        <v>1.3472500000000001</v>
      </c>
      <c r="B29" s="43"/>
      <c r="C29" s="50">
        <v>1.2713399999999999</v>
      </c>
      <c r="D29" s="48"/>
      <c r="E29" s="48"/>
      <c r="F29" s="52"/>
      <c r="G29" s="52"/>
      <c r="H29" s="52"/>
      <c r="I29" s="74"/>
      <c r="J29" s="74"/>
      <c r="K29" s="74"/>
      <c r="L29" s="74"/>
    </row>
    <row r="30" spans="1:12">
      <c r="A30" s="23"/>
      <c r="B30" s="43"/>
      <c r="C30" s="23"/>
      <c r="D30" s="48"/>
      <c r="E30" s="48"/>
    </row>
    <row r="31" spans="1:12">
      <c r="A31" s="23">
        <v>148.095</v>
      </c>
      <c r="B31" s="43">
        <f>(SQRT(2*PI())*A31*A33)</f>
        <v>423.54244849649973</v>
      </c>
      <c r="C31" s="23">
        <v>121.655</v>
      </c>
      <c r="D31" s="48">
        <f>(SQRT(2*PI())*C31*C33)</f>
        <v>324.7896093380196</v>
      </c>
      <c r="E31" s="48">
        <f>(D31/B31)*100</f>
        <v>76.684075112415513</v>
      </c>
    </row>
    <row r="32" spans="1:12">
      <c r="A32" s="23">
        <v>1354.89</v>
      </c>
      <c r="C32" s="23">
        <v>1354.89</v>
      </c>
    </row>
    <row r="33" spans="1:21">
      <c r="A33" s="23">
        <v>1.1409499999999999</v>
      </c>
      <c r="C33" s="23">
        <v>1.06508</v>
      </c>
    </row>
    <row r="36" spans="1:21">
      <c r="A36" s="23">
        <v>305.60000000000002</v>
      </c>
      <c r="B36" s="43">
        <f>(SQRT(2*PI())*A36*A38)</f>
        <v>1356.9913709202729</v>
      </c>
      <c r="C36" s="23">
        <v>246.04300000000001</v>
      </c>
      <c r="D36" s="48">
        <f>(SQRT(2*PI())*C36*C38)</f>
        <v>969.62985166866451</v>
      </c>
      <c r="E36" s="48">
        <f>(D36/B36)*100</f>
        <v>71.45438596349284</v>
      </c>
    </row>
    <row r="37" spans="1:21">
      <c r="A37" s="23">
        <v>2216.06</v>
      </c>
      <c r="C37" s="23">
        <v>2215.91</v>
      </c>
    </row>
    <row r="38" spans="1:21">
      <c r="A38" s="23">
        <v>1.7714700000000001</v>
      </c>
      <c r="C38" s="23">
        <v>1.57219</v>
      </c>
      <c r="D38" s="8"/>
    </row>
    <row r="41" spans="1:21">
      <c r="A41" s="23">
        <v>209.59800000000001</v>
      </c>
      <c r="B41" s="43">
        <f>(SQRT(2*PI())*A41*A43)</f>
        <v>627.92352168822754</v>
      </c>
      <c r="C41" s="23">
        <v>166.142</v>
      </c>
      <c r="D41" s="48">
        <f>(SQRT(2*PI())*C41*C43)</f>
        <v>483.40990367314157</v>
      </c>
      <c r="E41" s="48">
        <f>(D41/B41)*100</f>
        <v>76.985474659947698</v>
      </c>
    </row>
    <row r="42" spans="1:21">
      <c r="A42" s="23">
        <v>985.41</v>
      </c>
      <c r="C42" s="23">
        <v>985.39200000000005</v>
      </c>
      <c r="F42" s="2">
        <f>(E7+E11+E15+E19+E31)/5</f>
        <v>73.162905249602616</v>
      </c>
    </row>
    <row r="43" spans="1:21">
      <c r="A43" s="23">
        <v>1.1951700000000001</v>
      </c>
      <c r="C43" s="23">
        <v>1.1607700000000001</v>
      </c>
    </row>
    <row r="45" spans="1:21">
      <c r="A45" s="23"/>
      <c r="B45" s="43"/>
      <c r="C45" s="23"/>
      <c r="D45" s="48"/>
      <c r="E45" s="48"/>
    </row>
    <row r="46" spans="1:21">
      <c r="A46" s="23"/>
      <c r="C46" s="23"/>
      <c r="U46" s="8"/>
    </row>
    <row r="47" spans="1:21">
      <c r="A47" s="23"/>
      <c r="C47" s="23"/>
      <c r="U47" s="8"/>
    </row>
    <row r="48" spans="1:21">
      <c r="U48" s="8"/>
    </row>
    <row r="61" spans="3:8">
      <c r="C61" s="41"/>
    </row>
    <row r="62" spans="3:8">
      <c r="C62" s="41"/>
      <c r="D62" s="8"/>
      <c r="H62" s="8"/>
    </row>
    <row r="63" spans="3:8">
      <c r="C63" s="41"/>
      <c r="D63" s="8"/>
      <c r="H63" s="8"/>
    </row>
    <row r="64" spans="3:8">
      <c r="C64" s="41"/>
      <c r="D64" s="8"/>
      <c r="H64" s="8"/>
    </row>
    <row r="65" spans="1:12">
      <c r="C65" s="41"/>
    </row>
    <row r="66" spans="1:12">
      <c r="C66" s="41"/>
      <c r="D66" s="8"/>
      <c r="H66" s="8"/>
    </row>
    <row r="67" spans="1:12">
      <c r="C67" s="41"/>
      <c r="D67" s="8"/>
      <c r="H67" s="8"/>
    </row>
    <row r="68" spans="1:12">
      <c r="C68" s="41"/>
      <c r="D68" s="8"/>
      <c r="H68" s="8"/>
    </row>
    <row r="73" spans="1:12">
      <c r="A73" s="44" t="s">
        <v>185</v>
      </c>
      <c r="B73" s="43"/>
      <c r="C73" s="48"/>
      <c r="D73" s="48"/>
      <c r="E73" s="56">
        <f>(E7+E11+E15+E19+E27+E31+E36+E41)/8</f>
        <v>73.842828267893381</v>
      </c>
      <c r="F73" s="52"/>
      <c r="G73" s="52"/>
      <c r="H73" s="57">
        <f>(H7+H11+H15)/3</f>
        <v>54.19063168725841</v>
      </c>
      <c r="I73" s="74"/>
      <c r="J73" s="74"/>
      <c r="K73" s="74">
        <f>(K7+K11+K15+K23)/4</f>
        <v>54.557193595323156</v>
      </c>
      <c r="L73" s="74">
        <f>(L7+L11+L15+L23)/4</f>
        <v>71.727237664250424</v>
      </c>
    </row>
    <row r="74" spans="1:12">
      <c r="E74" s="2">
        <f>SQRT((E8^2)+(E12^2)+(E16^2)+(E20^2)+(E28^2))</f>
        <v>6.3111285183185831E-2</v>
      </c>
      <c r="H74" s="2">
        <f>SQRT((H8^2)+(H12^2)+(H16^2))</f>
        <v>4.2818507011673723E-2</v>
      </c>
    </row>
    <row r="83" spans="4:10">
      <c r="D83" s="2">
        <f>SQRT(B7)</f>
        <v>51.664780131536524</v>
      </c>
      <c r="E83" s="79">
        <f>((1/B7)^2)*(F83^2)</f>
        <v>2.5014983012336005E-4</v>
      </c>
      <c r="F83" s="2">
        <f>SQRT(D7)</f>
        <v>42.217185540484166</v>
      </c>
      <c r="G83" s="79">
        <f>((D7/(B7^2))^2)*(D83^2)</f>
        <v>1.6702812104104302E-4</v>
      </c>
      <c r="H83" s="79">
        <f>SQRT(G7)</f>
        <v>37.069068612893041</v>
      </c>
      <c r="I83" s="79">
        <f>((1/B7)^2)*H83^2</f>
        <v>1.9286126292654919E-4</v>
      </c>
      <c r="J83" s="79">
        <f>((G7/B7^2)^2)*D83^2</f>
        <v>9.928398121632937E-5</v>
      </c>
    </row>
    <row r="84" spans="4:10">
      <c r="E84" s="79"/>
      <c r="G84" s="79"/>
      <c r="J84" s="79"/>
    </row>
    <row r="85" spans="4:10">
      <c r="E85" s="79"/>
      <c r="G85" s="79"/>
      <c r="J85" s="79"/>
    </row>
    <row r="86" spans="4:10">
      <c r="E86" s="79"/>
      <c r="G86" s="79"/>
      <c r="J86" s="79"/>
    </row>
    <row r="87" spans="4:10">
      <c r="D87" s="2">
        <f>SQRT(B11)</f>
        <v>26.744105588149242</v>
      </c>
      <c r="E87" s="79">
        <f>((1/B11)^2)*(F87^2)</f>
        <v>1.0473026828019768E-3</v>
      </c>
      <c r="F87" s="2">
        <f>SQRT(D11)</f>
        <v>23.146869570593818</v>
      </c>
      <c r="G87" s="79">
        <f>((D11/(B11^2))^2)*(D87^2)</f>
        <v>7.8451380192373274E-4</v>
      </c>
      <c r="H87" s="79">
        <f>SQRT(G11)</f>
        <v>19.935222825078188</v>
      </c>
      <c r="I87" s="79">
        <f>((1/B11)^2)*H87^2</f>
        <v>7.7683695234337271E-4</v>
      </c>
      <c r="J87" s="79">
        <f>((G11/B11^2)^2)*D87^2</f>
        <v>4.3163425947642697E-4</v>
      </c>
    </row>
    <row r="88" spans="4:10">
      <c r="E88" s="79"/>
      <c r="G88" s="79"/>
      <c r="J88" s="79"/>
    </row>
    <row r="89" spans="4:10">
      <c r="E89" s="79"/>
      <c r="G89" s="79"/>
      <c r="J89" s="79"/>
    </row>
    <row r="90" spans="4:10">
      <c r="E90" s="79"/>
      <c r="G90" s="79"/>
      <c r="J90" s="79"/>
    </row>
    <row r="91" spans="4:10">
      <c r="D91" s="2">
        <f>SQRT(B15)</f>
        <v>50.941371383499394</v>
      </c>
      <c r="E91" s="79">
        <f>((1/B15)^2)*(F91^2)</f>
        <v>2.747075488416805E-4</v>
      </c>
      <c r="F91" s="2">
        <f>SQRT(D15)</f>
        <v>43.010705034633752</v>
      </c>
      <c r="G91" s="79">
        <f>((D15/(B15^2))^2)*(D91^2)</f>
        <v>1.9583145573627678E-4</v>
      </c>
      <c r="H91" s="79">
        <f>SQRT(G15)</f>
        <v>37.960506339664988</v>
      </c>
      <c r="I91" s="79">
        <f>((1/B15)^2)*H91^2</f>
        <v>2.1398408003011813E-4</v>
      </c>
      <c r="J91" s="79">
        <f>((G15/B15^2)^2)*D91^2</f>
        <v>1.18824006715956E-4</v>
      </c>
    </row>
    <row r="92" spans="4:10">
      <c r="E92" s="79"/>
      <c r="G92" s="79"/>
    </row>
    <row r="93" spans="4:10">
      <c r="E93" s="79"/>
      <c r="G93" s="79"/>
    </row>
    <row r="94" spans="4:10">
      <c r="E94" s="79"/>
      <c r="G94" s="79"/>
    </row>
    <row r="95" spans="4:10">
      <c r="D95" s="2">
        <f>SQRT(B19)</f>
        <v>34.519161850457564</v>
      </c>
      <c r="E95" s="79">
        <f>((1/B19)^2)*(F95^2)</f>
        <v>6.3918845829594672E-4</v>
      </c>
      <c r="F95" s="2">
        <f>SQRT(D19)</f>
        <v>30.125547367862417</v>
      </c>
      <c r="G95" s="79">
        <f>((D19/(B19^2))^2)*(D95^2)</f>
        <v>4.8683112121650278E-4</v>
      </c>
      <c r="H95" s="79"/>
      <c r="I95" s="79"/>
    </row>
    <row r="96" spans="4:10">
      <c r="E96" s="79"/>
      <c r="G96" s="79"/>
    </row>
    <row r="97" spans="4:9">
      <c r="E97" s="79"/>
      <c r="G97" s="79"/>
    </row>
    <row r="98" spans="4:9">
      <c r="E98" s="79"/>
      <c r="G98" s="79"/>
    </row>
    <row r="99" spans="4:9">
      <c r="E99" s="79"/>
      <c r="G99" s="79"/>
    </row>
    <row r="100" spans="4:9">
      <c r="E100" s="79"/>
      <c r="G100" s="79"/>
    </row>
    <row r="101" spans="4:9">
      <c r="E101" s="79"/>
      <c r="G101" s="79"/>
    </row>
    <row r="102" spans="4:9">
      <c r="E102" s="79"/>
      <c r="G102" s="79"/>
    </row>
    <row r="103" spans="4:9">
      <c r="D103" s="2">
        <f>SQRT(B27)</f>
        <v>99.09081627506778</v>
      </c>
      <c r="E103" s="79">
        <f>((1/B27)^2)*(F103^2)</f>
        <v>7.7898276995810612E-5</v>
      </c>
      <c r="F103" s="2">
        <f>SQRT(D27)</f>
        <v>86.662405147066153</v>
      </c>
      <c r="G103" s="79">
        <f>((D27/(B27^2))^2)*(D103^2)</f>
        <v>5.9583020497082061E-5</v>
      </c>
      <c r="H103" s="79"/>
      <c r="I103" s="79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85388-C76B-8F4E-8F3D-21788782B7DA}">
  <dimension ref="A1:S60"/>
  <sheetViews>
    <sheetView topLeftCell="A8" zoomScale="110" zoomScaleNormal="110" workbookViewId="0">
      <selection activeCell="B11" sqref="B11"/>
    </sheetView>
  </sheetViews>
  <sheetFormatPr baseColWidth="10" defaultRowHeight="18"/>
  <sheetData>
    <row r="1" spans="1:19">
      <c r="A1" t="s">
        <v>247</v>
      </c>
      <c r="B1" t="s">
        <v>246</v>
      </c>
      <c r="C1" t="s">
        <v>254</v>
      </c>
      <c r="D1" t="s">
        <v>231</v>
      </c>
      <c r="E1" t="s">
        <v>233</v>
      </c>
      <c r="F1" t="s">
        <v>256</v>
      </c>
      <c r="H1" t="s">
        <v>257</v>
      </c>
      <c r="I1" t="s">
        <v>260</v>
      </c>
      <c r="J1" t="s">
        <v>258</v>
      </c>
      <c r="K1" t="s">
        <v>259</v>
      </c>
    </row>
    <row r="2" spans="1:19">
      <c r="J2">
        <f>(H3+H7+H11+H15+H19+H23+H31+H35+H39+H43+H50+H54+H58)/13</f>
        <v>0.78733813190272073</v>
      </c>
      <c r="K2">
        <f>(I50+I54+I58)/3</f>
        <v>0.5304275984839063</v>
      </c>
    </row>
    <row r="3" spans="1:19">
      <c r="A3" s="22">
        <v>996.43</v>
      </c>
      <c r="B3" s="23">
        <v>807.41099999999994</v>
      </c>
      <c r="D3">
        <f>SQRT(2*PI())*A3*A5*3</f>
        <v>9584.1961131635144</v>
      </c>
      <c r="E3">
        <f>SQRT(2*PI())*B3*B5*3</f>
        <v>8044.2521061963489</v>
      </c>
      <c r="H3">
        <f>E3/D3</f>
        <v>0.83932465604996198</v>
      </c>
      <c r="M3" s="22">
        <v>1348.51</v>
      </c>
      <c r="N3" s="22">
        <v>1.27908</v>
      </c>
      <c r="O3" s="23">
        <v>1.3248899999999999</v>
      </c>
      <c r="P3">
        <f t="shared" ref="P3:P13" si="0">(2.35*N3)/M3</f>
        <v>2.229006829760254E-3</v>
      </c>
      <c r="Q3" s="61">
        <f>(2.35*O3)/M3</f>
        <v>2.308838273353553E-3</v>
      </c>
      <c r="R3">
        <f t="shared" ref="R3:R13" si="1">1/(SQRT(M3))</f>
        <v>2.7231584646856707E-2</v>
      </c>
      <c r="S3" s="61">
        <f>O3/N3</f>
        <v>1.0358148043906557</v>
      </c>
    </row>
    <row r="4" spans="1:19">
      <c r="A4" s="22">
        <v>1348.51</v>
      </c>
      <c r="B4" s="23">
        <v>1348.48</v>
      </c>
      <c r="M4" s="22">
        <v>1909.99</v>
      </c>
      <c r="N4" s="22">
        <v>1.5351999999999999</v>
      </c>
      <c r="O4" s="23">
        <v>1.4842</v>
      </c>
      <c r="P4">
        <f t="shared" si="0"/>
        <v>1.8888685281074769E-3</v>
      </c>
      <c r="Q4" s="61">
        <f t="shared" ref="Q4:Q13" si="2">(2.35*O4)/M4</f>
        <v>1.8261195084791019E-3</v>
      </c>
      <c r="R4">
        <f t="shared" si="1"/>
        <v>2.2881497997101596E-2</v>
      </c>
      <c r="S4" s="61">
        <f t="shared" ref="S4:S13" si="3">O4/N4</f>
        <v>0.96677957269411152</v>
      </c>
    </row>
    <row r="5" spans="1:19">
      <c r="A5" s="22">
        <v>1.27908</v>
      </c>
      <c r="B5" s="23">
        <v>1.3248899999999999</v>
      </c>
      <c r="M5" s="22">
        <v>867.29700000000003</v>
      </c>
      <c r="N5" s="22">
        <v>1.1583600000000001</v>
      </c>
      <c r="O5" s="23">
        <v>1.0379</v>
      </c>
      <c r="P5">
        <f t="shared" si="0"/>
        <v>3.13865492443765E-3</v>
      </c>
      <c r="Q5" s="61">
        <f t="shared" si="2"/>
        <v>2.8122603906159021E-3</v>
      </c>
      <c r="R5">
        <f t="shared" si="1"/>
        <v>3.3955965051469278E-2</v>
      </c>
      <c r="S5" s="61">
        <f t="shared" si="3"/>
        <v>0.89600814945267448</v>
      </c>
    </row>
    <row r="6" spans="1:19">
      <c r="M6" s="22">
        <v>2216.0300000000002</v>
      </c>
      <c r="N6" s="22">
        <v>1.7188000000000001</v>
      </c>
      <c r="O6" s="23">
        <v>1.5222</v>
      </c>
      <c r="P6">
        <f t="shared" si="0"/>
        <v>1.8227099813630681E-3</v>
      </c>
      <c r="Q6" s="61">
        <f t="shared" si="2"/>
        <v>1.614224536671435E-3</v>
      </c>
      <c r="R6">
        <f t="shared" si="1"/>
        <v>2.1242820641935053E-2</v>
      </c>
      <c r="S6" s="61">
        <f t="shared" si="3"/>
        <v>0.88561787293460548</v>
      </c>
    </row>
    <row r="7" spans="1:19">
      <c r="A7" s="22">
        <v>65.076400000000007</v>
      </c>
      <c r="B7" s="23">
        <v>56.855800000000002</v>
      </c>
      <c r="D7">
        <f>SQRT(2*PI())*A7*A9*3</f>
        <v>751.27626868331208</v>
      </c>
      <c r="E7">
        <f>SQRT(2*PI())*B7*B9*3</f>
        <v>634.56832608783282</v>
      </c>
      <c r="H7">
        <f>E7/D7</f>
        <v>0.84465376125879532</v>
      </c>
      <c r="M7" s="22">
        <v>938.56399999999996</v>
      </c>
      <c r="N7" s="22">
        <v>1.12164</v>
      </c>
      <c r="O7" s="23">
        <v>1.17276</v>
      </c>
      <c r="P7">
        <f t="shared" si="0"/>
        <v>2.8083902642760646E-3</v>
      </c>
      <c r="Q7" s="61">
        <f t="shared" si="2"/>
        <v>2.9363857978784613E-3</v>
      </c>
      <c r="R7">
        <f t="shared" si="1"/>
        <v>3.2641345614094888E-2</v>
      </c>
      <c r="S7" s="61">
        <f t="shared" si="3"/>
        <v>1.0455761206804324</v>
      </c>
    </row>
    <row r="8" spans="1:19">
      <c r="A8" s="22">
        <v>1909.99</v>
      </c>
      <c r="B8" s="23">
        <v>1910</v>
      </c>
      <c r="M8" s="22">
        <v>985.43200000000002</v>
      </c>
      <c r="N8" s="22">
        <v>1.0938600000000001</v>
      </c>
      <c r="O8" s="23">
        <v>1.1233200000000001</v>
      </c>
      <c r="P8">
        <f t="shared" si="0"/>
        <v>2.6085726869028002E-3</v>
      </c>
      <c r="Q8" s="61">
        <f t="shared" si="2"/>
        <v>2.6788271539791688E-3</v>
      </c>
      <c r="R8">
        <f t="shared" si="1"/>
        <v>3.1855664551966943E-2</v>
      </c>
      <c r="S8" s="61">
        <f t="shared" si="3"/>
        <v>1.0269321485382041</v>
      </c>
    </row>
    <row r="9" spans="1:19">
      <c r="A9" s="22">
        <v>1.5351999999999999</v>
      </c>
      <c r="B9" s="23">
        <v>1.4842</v>
      </c>
      <c r="M9" s="22">
        <v>415.666</v>
      </c>
      <c r="N9" s="22">
        <v>0.78344999999999998</v>
      </c>
      <c r="O9" s="23">
        <v>0.82902699999999996</v>
      </c>
      <c r="P9">
        <f t="shared" si="0"/>
        <v>4.429295395822608E-3</v>
      </c>
      <c r="Q9" s="61">
        <f t="shared" si="2"/>
        <v>4.6869685035581454E-3</v>
      </c>
      <c r="R9">
        <f t="shared" si="1"/>
        <v>4.904872797292683E-2</v>
      </c>
      <c r="S9" s="61">
        <f t="shared" si="3"/>
        <v>1.0581747399323504</v>
      </c>
    </row>
    <row r="10" spans="1:19">
      <c r="M10" s="22">
        <v>1354.85</v>
      </c>
      <c r="N10" s="22">
        <v>1.06751</v>
      </c>
      <c r="O10" s="23">
        <v>1.05829</v>
      </c>
      <c r="P10">
        <f t="shared" si="0"/>
        <v>1.8516060818540799E-3</v>
      </c>
      <c r="Q10" s="61">
        <f t="shared" si="2"/>
        <v>1.835613905598406E-3</v>
      </c>
      <c r="R10">
        <f t="shared" si="1"/>
        <v>2.7167795040320138E-2</v>
      </c>
      <c r="S10" s="61">
        <f t="shared" si="3"/>
        <v>0.99136307856600869</v>
      </c>
    </row>
    <row r="11" spans="1:19">
      <c r="A11" s="22">
        <v>134.97999999999999</v>
      </c>
      <c r="B11" s="23">
        <v>110.74</v>
      </c>
      <c r="D11">
        <f>SQRT(2*PI())*A11*A13*3</f>
        <v>1175.7748462459419</v>
      </c>
      <c r="E11">
        <f>SQRT(2*PI())*B11*B13*3</f>
        <v>864.31334791849179</v>
      </c>
      <c r="H11">
        <f>E11/D11</f>
        <v>0.73510107030959526</v>
      </c>
      <c r="M11" s="22">
        <v>1909.98</v>
      </c>
      <c r="N11" s="22">
        <v>1.57074</v>
      </c>
      <c r="O11" s="23">
        <v>1.4956400000000001</v>
      </c>
      <c r="P11">
        <f t="shared" si="0"/>
        <v>1.9326061005874408E-3</v>
      </c>
      <c r="Q11" s="61">
        <f t="shared" si="2"/>
        <v>1.8402046094723506E-3</v>
      </c>
      <c r="R11">
        <f t="shared" si="1"/>
        <v>2.2881557896859833E-2</v>
      </c>
      <c r="S11" s="61">
        <f t="shared" si="3"/>
        <v>0.95218814062161783</v>
      </c>
    </row>
    <row r="12" spans="1:19">
      <c r="A12" s="22">
        <v>867.29700000000003</v>
      </c>
      <c r="B12" s="23">
        <v>867.22299999999996</v>
      </c>
      <c r="M12" s="22">
        <v>3848.12</v>
      </c>
      <c r="N12" s="22">
        <v>1.78206</v>
      </c>
      <c r="O12" s="23">
        <v>1.5403</v>
      </c>
      <c r="P12">
        <f t="shared" si="0"/>
        <v>1.0882823300728667E-3</v>
      </c>
      <c r="Q12" s="61">
        <f t="shared" si="2"/>
        <v>9.4064244358284049E-4</v>
      </c>
      <c r="R12">
        <f t="shared" si="1"/>
        <v>1.6120395649918115E-2</v>
      </c>
      <c r="S12" s="61">
        <f t="shared" si="3"/>
        <v>0.86433677878410375</v>
      </c>
    </row>
    <row r="13" spans="1:19">
      <c r="A13" s="22">
        <v>1.1583600000000001</v>
      </c>
      <c r="B13" s="23">
        <v>1.0379</v>
      </c>
      <c r="M13" s="22">
        <v>2872.32</v>
      </c>
      <c r="N13" s="22">
        <v>2.1167699999999998</v>
      </c>
      <c r="O13" s="23">
        <v>2.2841100000000001</v>
      </c>
      <c r="P13">
        <f t="shared" si="0"/>
        <v>1.7318437708890373E-3</v>
      </c>
      <c r="Q13" s="61">
        <f t="shared" si="2"/>
        <v>1.8687536555815508E-3</v>
      </c>
      <c r="R13">
        <f t="shared" si="1"/>
        <v>1.8658794813329129E-2</v>
      </c>
      <c r="S13" s="61">
        <f t="shared" si="3"/>
        <v>1.0790544083674656</v>
      </c>
    </row>
    <row r="15" spans="1:19">
      <c r="A15" s="22">
        <v>105.161</v>
      </c>
      <c r="B15" s="23">
        <v>83.405100000000004</v>
      </c>
      <c r="D15">
        <f>SQRT(2*PI())*A15*A17*3</f>
        <v>1359.2246473709502</v>
      </c>
      <c r="E15">
        <f>SQRT(2*PI())*B15*B17*3</f>
        <v>954.71888634301854</v>
      </c>
      <c r="H15">
        <f>E15/D15</f>
        <v>0.70239962775076381</v>
      </c>
    </row>
    <row r="16" spans="1:19">
      <c r="A16" s="22">
        <v>2216.0300000000002</v>
      </c>
      <c r="B16" s="23">
        <v>2215.89</v>
      </c>
    </row>
    <row r="17" spans="1:8">
      <c r="A17" s="22">
        <v>1.7188000000000001</v>
      </c>
      <c r="B17" s="23">
        <v>1.5222</v>
      </c>
    </row>
    <row r="19" spans="1:8">
      <c r="A19" s="22">
        <v>80.016999999999996</v>
      </c>
      <c r="B19" s="23">
        <v>66.110200000000006</v>
      </c>
      <c r="D19">
        <f>SQRT(2*PI())*A19*A21*3</f>
        <v>674.91167737114336</v>
      </c>
      <c r="E19">
        <f>SQRT(2*PI())*B19*B21*3</f>
        <v>583.02718433843074</v>
      </c>
      <c r="H19">
        <f>E19/D19</f>
        <v>0.86385701105274548</v>
      </c>
    </row>
    <row r="20" spans="1:8">
      <c r="A20" s="22">
        <v>938.56399999999996</v>
      </c>
      <c r="B20" s="23">
        <v>938.64700000000005</v>
      </c>
    </row>
    <row r="21" spans="1:8">
      <c r="A21" s="22">
        <v>1.12164</v>
      </c>
      <c r="B21" s="23">
        <v>1.17276</v>
      </c>
    </row>
    <row r="23" spans="1:8">
      <c r="A23" s="22">
        <v>72.830100000000002</v>
      </c>
      <c r="B23" s="23">
        <v>55.810899999999997</v>
      </c>
      <c r="D23">
        <f>SQRT(2*PI())*A23*A25*3</f>
        <v>599.07864194667513</v>
      </c>
      <c r="E23">
        <f>SQRT(2*PI())*B23*B25*3</f>
        <v>471.44790062047423</v>
      </c>
      <c r="H23">
        <f>E23/D23</f>
        <v>0.78695494649672137</v>
      </c>
    </row>
    <row r="24" spans="1:8">
      <c r="A24" s="22">
        <v>985.43200000000002</v>
      </c>
      <c r="B24" s="23">
        <v>985.43</v>
      </c>
    </row>
    <row r="25" spans="1:8">
      <c r="A25" s="22">
        <v>1.0938600000000001</v>
      </c>
      <c r="B25" s="23">
        <v>1.1233200000000001</v>
      </c>
    </row>
    <row r="27" spans="1:8">
      <c r="A27" s="22">
        <v>67.313400000000001</v>
      </c>
      <c r="B27" s="23">
        <v>61.330100000000002</v>
      </c>
      <c r="D27">
        <f>SQRT(2*PI())*A27*A29*3</f>
        <v>396.57378388372956</v>
      </c>
      <c r="E27">
        <f>SQRT(2*PI())*B27*B29*3</f>
        <v>382.34334622195195</v>
      </c>
      <c r="H27">
        <f>E27/D27</f>
        <v>0.96411654466309904</v>
      </c>
    </row>
    <row r="28" spans="1:8">
      <c r="A28" s="22">
        <v>415.666</v>
      </c>
      <c r="B28" s="23">
        <v>415.84100000000001</v>
      </c>
    </row>
    <row r="29" spans="1:8">
      <c r="A29" s="22">
        <v>0.78344999999999998</v>
      </c>
      <c r="B29" s="23">
        <v>0.82902699999999996</v>
      </c>
    </row>
    <row r="31" spans="1:8">
      <c r="A31" s="22">
        <v>52.537599999999998</v>
      </c>
      <c r="B31" s="23">
        <v>45.298400000000001</v>
      </c>
      <c r="D31">
        <f>SQRT(2*PI())*A31*A33*3</f>
        <v>421.74832900312401</v>
      </c>
      <c r="E31">
        <f>SQRT(2*PI())*B31*B33*3</f>
        <v>360.49458348532443</v>
      </c>
      <c r="H31">
        <f>E31/D31</f>
        <v>0.8547623278968679</v>
      </c>
    </row>
    <row r="32" spans="1:8">
      <c r="A32" s="22">
        <v>1354.85</v>
      </c>
      <c r="B32" s="23">
        <v>1354.78</v>
      </c>
    </row>
    <row r="33" spans="1:8">
      <c r="A33" s="22">
        <v>1.06751</v>
      </c>
      <c r="B33" s="23">
        <v>1.05829</v>
      </c>
    </row>
    <row r="35" spans="1:8">
      <c r="A35" s="22">
        <v>65.402900000000002</v>
      </c>
      <c r="B35" s="23">
        <v>56.912999999999997</v>
      </c>
      <c r="D35">
        <f>SQRT(2*PI())*A35*A37*3</f>
        <v>772.52492046689872</v>
      </c>
      <c r="E35">
        <f>SQRT(2*PI())*B35*B37*3</f>
        <v>640.10281813961103</v>
      </c>
      <c r="H35">
        <f>E35/D35</f>
        <v>0.82858533256473543</v>
      </c>
    </row>
    <row r="36" spans="1:8">
      <c r="A36" s="22">
        <v>1909.98</v>
      </c>
      <c r="B36" s="23">
        <v>1910</v>
      </c>
    </row>
    <row r="37" spans="1:8">
      <c r="A37" s="22">
        <v>1.57074</v>
      </c>
      <c r="B37" s="23">
        <v>1.4956400000000001</v>
      </c>
    </row>
    <row r="39" spans="1:8">
      <c r="A39" s="22">
        <v>10.1747</v>
      </c>
      <c r="B39" s="23">
        <v>9.4083100000000002</v>
      </c>
      <c r="D39">
        <f>SQRT(2*PI())*A39*A41*3</f>
        <v>136.34999426800451</v>
      </c>
      <c r="E39">
        <f>SQRT(2*PI())*B39*B41*3</f>
        <v>108.97531250699663</v>
      </c>
      <c r="H39">
        <f>E39/D39</f>
        <v>0.7992322485382638</v>
      </c>
    </row>
    <row r="40" spans="1:8">
      <c r="A40" s="22">
        <v>3848.12</v>
      </c>
      <c r="B40" s="23">
        <v>3847.78</v>
      </c>
    </row>
    <row r="41" spans="1:8">
      <c r="A41" s="22">
        <v>1.78206</v>
      </c>
      <c r="B41" s="23">
        <v>1.5403</v>
      </c>
    </row>
    <row r="43" spans="1:8">
      <c r="A43" s="22">
        <v>14.4277</v>
      </c>
      <c r="B43" s="23">
        <v>10.961399999999999</v>
      </c>
      <c r="D43">
        <f>SQRT(2*PI())*A43*A45*3</f>
        <v>229.65820392565979</v>
      </c>
      <c r="E43">
        <f>SQRT(2*PI())*B43*B45*3</f>
        <v>188.27568235289573</v>
      </c>
      <c r="H43">
        <f>E43/D43</f>
        <v>0.81980821557692074</v>
      </c>
    </row>
    <row r="44" spans="1:8">
      <c r="A44" s="22">
        <v>2872.32</v>
      </c>
      <c r="B44" s="23">
        <v>2872.07</v>
      </c>
    </row>
    <row r="45" spans="1:8">
      <c r="A45" s="22">
        <v>2.1167699999999998</v>
      </c>
      <c r="B45" s="23">
        <v>2.2841100000000001</v>
      </c>
    </row>
    <row r="50" spans="1:9">
      <c r="A50" s="23">
        <v>340.33800000000002</v>
      </c>
      <c r="B50" s="23">
        <v>235.352</v>
      </c>
      <c r="C50" s="23">
        <v>175.35</v>
      </c>
      <c r="D50">
        <f>SQRT(2*PI())*A50*A52*3</f>
        <v>2596.9243088436492</v>
      </c>
      <c r="E50">
        <f>SQRT(2*PI())*B50*B52*3</f>
        <v>1832.7724280922675</v>
      </c>
      <c r="F50">
        <f>SQRT(2*PI())*C50*C52*3</f>
        <v>1414.4221375388054</v>
      </c>
      <c r="H50">
        <f>E50/D50</f>
        <v>0.70574734190399224</v>
      </c>
      <c r="I50">
        <f>F50/D50</f>
        <v>0.54465281591846437</v>
      </c>
    </row>
    <row r="51" spans="1:9">
      <c r="A51" s="23">
        <v>711.38099999999997</v>
      </c>
      <c r="B51" s="23">
        <v>711.42</v>
      </c>
      <c r="C51" s="23">
        <v>711.38400000000001</v>
      </c>
    </row>
    <row r="52" spans="1:9">
      <c r="A52" s="23">
        <v>1.0146999999999999</v>
      </c>
      <c r="B52" s="23">
        <v>1.0355700000000001</v>
      </c>
      <c r="C52" s="23">
        <v>1.0726599999999999</v>
      </c>
    </row>
    <row r="54" spans="1:9">
      <c r="A54" s="23">
        <v>364.709</v>
      </c>
      <c r="B54" s="23">
        <v>264.94200000000001</v>
      </c>
      <c r="C54" s="23">
        <v>194.17400000000001</v>
      </c>
      <c r="D54">
        <f>SQRT(2*PI())*A54*A56*3</f>
        <v>2705.1665090199458</v>
      </c>
      <c r="E54">
        <f>SQRT(2*PI())*B54*B56*3</f>
        <v>1864.3219242131977</v>
      </c>
      <c r="F54">
        <f>SQRT(2*PI())*C54*C56*3</f>
        <v>1324.0377491513007</v>
      </c>
      <c r="H54">
        <f>E54/D54</f>
        <v>0.68917085805879741</v>
      </c>
      <c r="I54">
        <f>F54/D54</f>
        <v>0.48944778250673598</v>
      </c>
    </row>
    <row r="55" spans="1:9">
      <c r="A55" s="23">
        <v>216.732</v>
      </c>
      <c r="B55" s="23">
        <v>216.625</v>
      </c>
      <c r="C55" s="23">
        <v>216.636</v>
      </c>
    </row>
    <row r="56" spans="1:9">
      <c r="A56" s="23">
        <v>0.98636199999999996</v>
      </c>
      <c r="B56" s="23">
        <v>0.93574800000000002</v>
      </c>
      <c r="C56" s="23">
        <v>0.90677200000000002</v>
      </c>
    </row>
    <row r="58" spans="1:9">
      <c r="A58" s="23">
        <v>84.527299999999997</v>
      </c>
      <c r="B58" s="23">
        <v>60.6404</v>
      </c>
      <c r="C58" s="23">
        <v>50.231099999999998</v>
      </c>
      <c r="D58">
        <f>SQRT(2*PI())*A58*A60*3</f>
        <v>699.29446185618701</v>
      </c>
      <c r="E58">
        <f>SQRT(2*PI())*B58*B60*3</f>
        <v>535.51852217073952</v>
      </c>
      <c r="F58">
        <f>SQRT(2*PI())*C58*C60*3</f>
        <v>389.63442462550722</v>
      </c>
      <c r="H58">
        <f>E58/D58</f>
        <v>0.76579831727720915</v>
      </c>
      <c r="I58">
        <f>F58/D58</f>
        <v>0.5571821970265185</v>
      </c>
    </row>
    <row r="59" spans="1:9">
      <c r="A59" s="23">
        <v>530.25599999999997</v>
      </c>
      <c r="B59" s="23">
        <v>530.37900000000002</v>
      </c>
      <c r="C59" s="23">
        <v>530.226</v>
      </c>
    </row>
    <row r="60" spans="1:9">
      <c r="A60" s="23">
        <v>1.10015</v>
      </c>
      <c r="B60" s="23">
        <v>1.1743600000000001</v>
      </c>
      <c r="C60" s="23">
        <v>1.0315099999999999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036F4-BAF7-FE44-BE8E-7434C949EDB8}">
  <dimension ref="A3:W61"/>
  <sheetViews>
    <sheetView workbookViewId="0">
      <selection activeCell="W44" sqref="W44"/>
    </sheetView>
  </sheetViews>
  <sheetFormatPr baseColWidth="10" defaultRowHeight="18"/>
  <cols>
    <col min="10" max="11" width="11.875" bestFit="1" customWidth="1"/>
    <col min="13" max="13" width="12.25" customWidth="1"/>
    <col min="21" max="21" width="11.875" bestFit="1" customWidth="1"/>
  </cols>
  <sheetData>
    <row r="3" spans="1:16">
      <c r="E3" t="s">
        <v>231</v>
      </c>
      <c r="F3" t="s">
        <v>233</v>
      </c>
      <c r="G3" t="s">
        <v>232</v>
      </c>
      <c r="H3" t="s">
        <v>234</v>
      </c>
      <c r="J3" t="s">
        <v>235</v>
      </c>
      <c r="K3" t="s">
        <v>236</v>
      </c>
      <c r="L3" t="s">
        <v>240</v>
      </c>
      <c r="M3" t="s">
        <v>241</v>
      </c>
      <c r="N3" t="s">
        <v>239</v>
      </c>
    </row>
    <row r="4" spans="1:16">
      <c r="A4" s="22">
        <v>996.43</v>
      </c>
      <c r="B4" s="22">
        <v>810.66099999999994</v>
      </c>
      <c r="C4">
        <f>(SQRT(2*PI())*B4*B6)/(SQRT(2*PI())*A4*A6)</f>
        <v>0.8409857663431769</v>
      </c>
      <c r="E4">
        <f>SQRT(2*PI())*A4*A6*3</f>
        <v>9584.1961131635144</v>
      </c>
      <c r="F4">
        <f>SQRT(2*PI())*B4*B6*3</f>
        <v>8060.1725130121158</v>
      </c>
      <c r="G4">
        <f>SQRT(E4)</f>
        <v>97.898907619868339</v>
      </c>
      <c r="H4">
        <f>SQRT(F4)</f>
        <v>89.778463525570075</v>
      </c>
      <c r="J4">
        <f>(1/(E4^2))*(H4^2)</f>
        <v>8.774713668349464E-5</v>
      </c>
      <c r="K4">
        <f>((F4/(E4^2))^2)*G4^2</f>
        <v>7.379409298818824E-5</v>
      </c>
      <c r="L4">
        <f>SQRT(J4+K4)</f>
        <v>1.2709887083356913E-2</v>
      </c>
      <c r="M4" s="39">
        <f>(1/12)*SQRT((L4^2)+(L8^2)+(L12^2)+(L16^2)+(L20^2)+(L24^2)+(L32^2)+(L36^2)+(L40^2)+(L51^2)+(L55^2)+(L59^2))</f>
        <v>1.4342866976349964E-2</v>
      </c>
      <c r="N4">
        <v>0.02</v>
      </c>
      <c r="O4" s="25"/>
      <c r="P4" s="39">
        <f>SQRT(M4^2+N4^2)</f>
        <v>2.4611335459524954E-2</v>
      </c>
    </row>
    <row r="5" spans="1:16">
      <c r="A5" s="22">
        <v>1348.51</v>
      </c>
      <c r="B5" s="22">
        <v>1348.48</v>
      </c>
    </row>
    <row r="6" spans="1:16">
      <c r="A6" s="22">
        <v>1.27908</v>
      </c>
      <c r="B6" s="22">
        <v>1.32219</v>
      </c>
      <c r="O6" s="39">
        <f>(O51+O55+O59)/3</f>
        <v>0.55221684590843401</v>
      </c>
      <c r="P6" s="39">
        <f>SQRT(W51^2+N4^2)</f>
        <v>2.4244170046307169E-2</v>
      </c>
    </row>
    <row r="8" spans="1:16">
      <c r="A8" s="22">
        <v>65.076400000000007</v>
      </c>
      <c r="B8" s="22">
        <v>56.372100000000003</v>
      </c>
      <c r="C8">
        <f>(SQRT(2*PI())*B8*B10)/(SQRT(2*PI())*A8*A10)</f>
        <v>0.85803498976665993</v>
      </c>
      <c r="E8">
        <f t="shared" ref="E8:E59" si="0">SQRT(2*PI())*A8*A10*3</f>
        <v>751.27626868331208</v>
      </c>
      <c r="F8">
        <f>SQRT(2*PI())*B8*B10*3</f>
        <v>644.62132551162017</v>
      </c>
      <c r="G8">
        <f>SQRT(E8)</f>
        <v>27.409419342323034</v>
      </c>
      <c r="H8">
        <f>SQRT(F8)</f>
        <v>25.389393957155026</v>
      </c>
      <c r="J8">
        <f>(1/(E8^2))*(H8^2)</f>
        <v>1.1421031457182235E-3</v>
      </c>
      <c r="K8">
        <f>((F8/(E8^2))^2)*G8^2</f>
        <v>9.7996446094880609E-4</v>
      </c>
      <c r="L8">
        <f>SQRT(J8+K8)</f>
        <v>4.606590503471119E-2</v>
      </c>
    </row>
    <row r="9" spans="1:16">
      <c r="A9" s="22">
        <v>1909.99</v>
      </c>
      <c r="B9" s="22">
        <v>1909.99</v>
      </c>
    </row>
    <row r="10" spans="1:16">
      <c r="A10" s="22">
        <v>1.5351999999999999</v>
      </c>
      <c r="B10" s="22">
        <v>1.5206500000000001</v>
      </c>
    </row>
    <row r="12" spans="1:16">
      <c r="A12" s="22">
        <v>134.97999999999999</v>
      </c>
      <c r="B12" s="22">
        <v>110.63500000000001</v>
      </c>
      <c r="C12">
        <f>(SQRT(2*PI())*B12*B14)/(SQRT(2*PI())*A12*A14)</f>
        <v>0.76016022194784916</v>
      </c>
      <c r="E12">
        <f t="shared" si="0"/>
        <v>1175.7748462459419</v>
      </c>
      <c r="F12">
        <f>SQRT(2*PI())*B12*B14*3</f>
        <v>893.77726808301338</v>
      </c>
      <c r="G12">
        <f>SQRT(E12)</f>
        <v>34.289573433420571</v>
      </c>
      <c r="H12">
        <f>SQRT(F12)</f>
        <v>29.896107908605988</v>
      </c>
      <c r="J12">
        <f>(1/(E12^2))*(H12^2)</f>
        <v>6.4651852722901609E-4</v>
      </c>
      <c r="K12">
        <f>((F12/(E12^2))^2)*G12^2</f>
        <v>4.9145766715180542E-4</v>
      </c>
      <c r="L12">
        <f>SQRT(J12+K12)</f>
        <v>3.3733902744580588E-2</v>
      </c>
    </row>
    <row r="13" spans="1:16">
      <c r="A13" s="22">
        <v>867.29700000000003</v>
      </c>
      <c r="B13" s="22">
        <v>867.22</v>
      </c>
    </row>
    <row r="14" spans="1:16">
      <c r="A14" s="22">
        <v>1.1583600000000001</v>
      </c>
      <c r="B14" s="22">
        <v>1.0743</v>
      </c>
    </row>
    <row r="16" spans="1:16">
      <c r="A16" s="22">
        <v>105.161</v>
      </c>
      <c r="B16" s="22">
        <v>84.690799999999996</v>
      </c>
      <c r="C16">
        <f>(SQRT(2*PI())*B16*B18)/(SQRT(2*PI())*A16*A18)</f>
        <v>0.72336663307956317</v>
      </c>
      <c r="E16">
        <f t="shared" si="0"/>
        <v>1359.2246473709502</v>
      </c>
      <c r="F16">
        <f>SQRT(2*PI())*B16*B18*3</f>
        <v>983.21775676748075</v>
      </c>
      <c r="G16">
        <f>SQRT(E16)</f>
        <v>36.867663980390056</v>
      </c>
      <c r="H16">
        <f>SQRT(F16)</f>
        <v>31.356303302007408</v>
      </c>
      <c r="J16">
        <f>(1/(E16^2))*(H16^2)</f>
        <v>5.321906385958486E-4</v>
      </c>
      <c r="K16">
        <f>((F16/(E16^2))^2)*G16^2</f>
        <v>3.8496895039754183E-4</v>
      </c>
      <c r="L16">
        <f>SQRT(J16+K16)</f>
        <v>3.0284642791246364E-2</v>
      </c>
    </row>
    <row r="17" spans="1:18">
      <c r="A17" s="22">
        <v>2216.0300000000002</v>
      </c>
      <c r="B17" s="22">
        <v>2215.88</v>
      </c>
    </row>
    <row r="18" spans="1:18">
      <c r="A18" s="22">
        <v>1.7188000000000001</v>
      </c>
      <c r="B18" s="22">
        <v>1.5438400000000001</v>
      </c>
      <c r="O18" s="23"/>
    </row>
    <row r="19" spans="1:18">
      <c r="O19" s="23"/>
    </row>
    <row r="20" spans="1:18">
      <c r="A20" s="22">
        <v>80.016999999999996</v>
      </c>
      <c r="B20" s="22">
        <v>65.691699999999997</v>
      </c>
      <c r="C20" s="87">
        <f>(SQRT(2*PI())*B20*B22)/(SQRT(2*PI())*A20*A22)</f>
        <v>0.86821112122122412</v>
      </c>
      <c r="D20" t="s">
        <v>272</v>
      </c>
      <c r="E20">
        <f t="shared" si="0"/>
        <v>674.91167737114336</v>
      </c>
      <c r="F20">
        <f>SQRT(2*PI())*B20*B22*3</f>
        <v>585.9658241356974</v>
      </c>
      <c r="G20">
        <f>SQRT(E20)</f>
        <v>25.979062288141645</v>
      </c>
      <c r="H20">
        <f>SQRT(F20)</f>
        <v>24.206730967557295</v>
      </c>
      <c r="J20">
        <f>(1/(E20^2))*(H20^2)</f>
        <v>1.2864070223277267E-3</v>
      </c>
      <c r="K20">
        <f>((F20/(E20^2))^2)*G20^2</f>
        <v>1.116872883202012E-3</v>
      </c>
      <c r="L20">
        <f>SQRT(J20+K20)</f>
        <v>4.9023258822009565E-2</v>
      </c>
      <c r="O20" s="23"/>
    </row>
    <row r="21" spans="1:18">
      <c r="A21" s="22">
        <v>938.56399999999996</v>
      </c>
      <c r="B21" s="22">
        <v>938.64300000000003</v>
      </c>
      <c r="R21" s="61"/>
    </row>
    <row r="22" spans="1:18">
      <c r="A22" s="22">
        <v>1.12164</v>
      </c>
      <c r="B22" s="22">
        <v>1.18618</v>
      </c>
      <c r="O22" s="23"/>
    </row>
    <row r="23" spans="1:18">
      <c r="O23" s="23"/>
    </row>
    <row r="24" spans="1:18">
      <c r="A24" s="22">
        <v>72.830100000000002</v>
      </c>
      <c r="B24" s="22">
        <v>56.340499999999999</v>
      </c>
      <c r="C24" s="87">
        <f>(SQRT(2*PI())*B24*B26)/(SQRT(2*PI())*A24*A26)</f>
        <v>0.79486097805640266</v>
      </c>
      <c r="D24" t="s">
        <v>272</v>
      </c>
      <c r="E24">
        <f t="shared" si="0"/>
        <v>599.07864194667513</v>
      </c>
      <c r="F24">
        <f>SQRT(2*PI())*B24*B26*3</f>
        <v>476.18423527043569</v>
      </c>
      <c r="G24">
        <f>SQRT(E24)</f>
        <v>24.476083059727411</v>
      </c>
      <c r="H24">
        <f>SQRT(F24)</f>
        <v>21.821646025688249</v>
      </c>
      <c r="J24">
        <f>(1/(E24^2))*(H24^2)</f>
        <v>1.3268057353430982E-3</v>
      </c>
      <c r="K24">
        <f>((F24/(E24^2))^2)*G24^2</f>
        <v>1.0546261044856596E-3</v>
      </c>
      <c r="L24">
        <f>SQRT(J24+K24)</f>
        <v>4.8799916391616467E-2</v>
      </c>
      <c r="O24" s="23"/>
    </row>
    <row r="25" spans="1:18">
      <c r="A25" s="22">
        <v>985.43200000000002</v>
      </c>
      <c r="B25" s="22">
        <v>985.44100000000003</v>
      </c>
    </row>
    <row r="26" spans="1:18">
      <c r="A26" s="22">
        <v>1.0938600000000001</v>
      </c>
      <c r="B26" s="22">
        <v>1.1239399999999999</v>
      </c>
    </row>
    <row r="27" spans="1:18">
      <c r="P27" s="22"/>
    </row>
    <row r="28" spans="1:18">
      <c r="A28" s="22">
        <v>67.313400000000001</v>
      </c>
      <c r="B28" s="22">
        <v>62.139499999999998</v>
      </c>
      <c r="C28" s="87">
        <f>(SQRT(2*PI())*B28*B30)/(SQRT(2*PI())*A28*A30)</f>
        <v>1.0139921289376845</v>
      </c>
      <c r="E28">
        <f t="shared" si="0"/>
        <v>396.57378388372956</v>
      </c>
      <c r="F28">
        <f>SQRT(2*PI())*B28*B30*3</f>
        <v>402.12269540113618</v>
      </c>
      <c r="G28">
        <f>SQRT(E28)</f>
        <v>19.914160386110421</v>
      </c>
      <c r="H28">
        <f>SQRT(F28)</f>
        <v>20.052997167534237</v>
      </c>
      <c r="J28">
        <f>(1/(E28^2))*(H28^2)</f>
        <v>2.556881392933866E-3</v>
      </c>
      <c r="K28">
        <f>((F28/(E28^2))^2)*G28^2</f>
        <v>2.5926576070621635E-3</v>
      </c>
      <c r="L28">
        <f>SQRT(J28+K28)</f>
        <v>7.1760288460931021E-2</v>
      </c>
      <c r="P28" s="22"/>
    </row>
    <row r="29" spans="1:18">
      <c r="A29" s="22">
        <v>415.666</v>
      </c>
      <c r="B29" s="22">
        <v>415.84100000000001</v>
      </c>
      <c r="P29" s="22"/>
    </row>
    <row r="30" spans="1:18">
      <c r="A30" s="22">
        <v>0.78344999999999998</v>
      </c>
      <c r="B30" s="22">
        <v>0.86055700000000002</v>
      </c>
    </row>
    <row r="31" spans="1:18">
      <c r="P31" s="23"/>
    </row>
    <row r="32" spans="1:18">
      <c r="A32" s="22">
        <v>52.537599999999998</v>
      </c>
      <c r="B32" s="22">
        <v>44.774700000000003</v>
      </c>
      <c r="C32">
        <f>(SQRT(2*PI())*B32*B34)/(SQRT(2*PI())*A32*A34)</f>
        <v>0.84869641071022983</v>
      </c>
      <c r="E32">
        <f t="shared" si="0"/>
        <v>421.74832900312401</v>
      </c>
      <c r="F32">
        <f>SQRT(2*PI())*B32*B34*3</f>
        <v>357.93629304798844</v>
      </c>
      <c r="G32">
        <f>SQRT(E32)</f>
        <v>20.536512094392368</v>
      </c>
      <c r="H32">
        <f>SQRT(F32)</f>
        <v>18.919204345003212</v>
      </c>
      <c r="J32">
        <f>(1/(E32^2))*(H32^2)</f>
        <v>2.0123290416260149E-3</v>
      </c>
      <c r="K32">
        <f>((F32/(E32^2))^2)*G32^2</f>
        <v>1.7078564347959555E-3</v>
      </c>
      <c r="L32">
        <f>SQRT(J32+K32)</f>
        <v>6.0993323211823526E-2</v>
      </c>
      <c r="P32" s="23"/>
    </row>
    <row r="33" spans="1:16">
      <c r="A33" s="22">
        <v>1354.85</v>
      </c>
      <c r="B33" s="22">
        <v>1354.76</v>
      </c>
      <c r="P33" s="23"/>
    </row>
    <row r="34" spans="1:16">
      <c r="A34" s="22">
        <v>1.06751</v>
      </c>
      <c r="B34" s="22">
        <v>1.06307</v>
      </c>
    </row>
    <row r="36" spans="1:16">
      <c r="A36" s="22">
        <v>65.402900000000002</v>
      </c>
      <c r="B36" s="22">
        <v>56.375300000000003</v>
      </c>
      <c r="C36">
        <f>(SQRT(2*PI())*B36*B38)/(SQRT(2*PI())*A36*A38)</f>
        <v>0.83601276999705887</v>
      </c>
      <c r="E36">
        <f t="shared" si="0"/>
        <v>772.52492046689872</v>
      </c>
      <c r="F36">
        <f>SQRT(2*PI())*B36*B38*3</f>
        <v>645.84069865128959</v>
      </c>
      <c r="G36">
        <f>SQRT(E36)</f>
        <v>27.79433252421973</v>
      </c>
      <c r="H36">
        <f>SQRT(F36)</f>
        <v>25.41339604718916</v>
      </c>
      <c r="J36">
        <f>(1/(E36^2))*(H36^2)</f>
        <v>1.0821822673264564E-3</v>
      </c>
      <c r="K36">
        <f>((F36/(E36^2))^2)*G36^2</f>
        <v>9.0471819494928859E-4</v>
      </c>
      <c r="L36">
        <f>SQRT(J36+K36)</f>
        <v>4.4574661661932392E-2</v>
      </c>
    </row>
    <row r="37" spans="1:16">
      <c r="A37" s="22">
        <v>1909.98</v>
      </c>
      <c r="B37" s="22">
        <v>1909.99</v>
      </c>
    </row>
    <row r="38" spans="1:16">
      <c r="A38" s="22">
        <v>1.57074</v>
      </c>
      <c r="B38" s="22">
        <v>1.5234399999999999</v>
      </c>
    </row>
    <row r="40" spans="1:16">
      <c r="A40" s="22">
        <v>10.1747</v>
      </c>
      <c r="B40" s="22">
        <v>9.0537100000000006</v>
      </c>
      <c r="C40">
        <f>(SQRT(2*PI())*B40*B42)/(SQRT(2*PI())*A40*A42)</f>
        <v>0.8728087743569789</v>
      </c>
      <c r="E40">
        <f t="shared" si="0"/>
        <v>136.34999426800451</v>
      </c>
      <c r="F40">
        <f>SQRT(2*PI())*B40*B42*3</f>
        <v>119.00747138063811</v>
      </c>
      <c r="G40">
        <f>SQRT(E40)</f>
        <v>11.67690002817548</v>
      </c>
      <c r="H40">
        <f>SQRT(F40)</f>
        <v>10.909054559430809</v>
      </c>
      <c r="J40">
        <f>(1/(E40^2))*(H40^2)</f>
        <v>6.4012380714986916E-3</v>
      </c>
      <c r="K40">
        <f>((F40/(E40^2))^2)*G40^2</f>
        <v>5.5870567555520037E-3</v>
      </c>
      <c r="L40">
        <f>SQRT(J40+K40)</f>
        <v>0.10949107190566131</v>
      </c>
    </row>
    <row r="41" spans="1:16">
      <c r="A41" s="22">
        <v>3848.12</v>
      </c>
      <c r="B41" s="22">
        <v>3847.7</v>
      </c>
    </row>
    <row r="42" spans="1:16">
      <c r="A42" s="22">
        <v>1.78206</v>
      </c>
      <c r="B42" s="22">
        <v>1.7479800000000001</v>
      </c>
    </row>
    <row r="44" spans="1:16">
      <c r="A44" s="22">
        <v>14.4277</v>
      </c>
      <c r="B44" s="22">
        <v>11.4886</v>
      </c>
      <c r="C44" s="87">
        <f>(SQRT(2*PI())*B44*B46)/(SQRT(2*PI())*A44*A46)</f>
        <v>0.90860016071155558</v>
      </c>
      <c r="E44">
        <f t="shared" si="0"/>
        <v>229.65820392565979</v>
      </c>
      <c r="F44">
        <f>SQRT(2*PI())*B44*B46*3</f>
        <v>208.66748099558171</v>
      </c>
      <c r="G44">
        <f>SQRT(E44)</f>
        <v>15.154478015611748</v>
      </c>
      <c r="H44">
        <f>SQRT(F44)</f>
        <v>14.445327306626933</v>
      </c>
      <c r="J44">
        <f>(1/(E44^2))*(H44^2)</f>
        <v>3.956314841710027E-3</v>
      </c>
      <c r="K44">
        <f>((F44/(E44^2))^2)*G44^2</f>
        <v>3.5947083010032417E-3</v>
      </c>
      <c r="L44">
        <f>SQRT(J44+K44)</f>
        <v>8.6896623310191226E-2</v>
      </c>
    </row>
    <row r="45" spans="1:16">
      <c r="A45" s="22">
        <v>2872.32</v>
      </c>
      <c r="B45" s="22">
        <v>2872.12</v>
      </c>
    </row>
    <row r="46" spans="1:16">
      <c r="A46" s="22">
        <v>2.1167699999999998</v>
      </c>
      <c r="B46" s="22">
        <v>2.41533</v>
      </c>
    </row>
    <row r="49" spans="1:23">
      <c r="Q49" t="s">
        <v>237</v>
      </c>
      <c r="R49" t="s">
        <v>238</v>
      </c>
      <c r="T49" t="s">
        <v>235</v>
      </c>
      <c r="U49" t="s">
        <v>236</v>
      </c>
      <c r="V49" t="s">
        <v>240</v>
      </c>
      <c r="W49" t="s">
        <v>241</v>
      </c>
    </row>
    <row r="51" spans="1:23">
      <c r="A51" s="23">
        <v>340.66199999999998</v>
      </c>
      <c r="B51" s="23">
        <v>235.19200000000001</v>
      </c>
      <c r="C51">
        <f>(SQRT(2*PI())*B51*B53)/(SQRT(2*PI())*A51*A53)</f>
        <v>0.70219598639227943</v>
      </c>
      <c r="E51">
        <f t="shared" si="0"/>
        <v>2612.6663752741124</v>
      </c>
      <c r="F51">
        <f>SQRT(2*PI())*B51*B53*3</f>
        <v>1834.6038424995468</v>
      </c>
      <c r="G51">
        <f>SQRT(E51)</f>
        <v>51.11424826087255</v>
      </c>
      <c r="H51">
        <f>SQRT(F51)</f>
        <v>42.832275710024405</v>
      </c>
      <c r="J51">
        <f>(1/(E51^2))*(H51^2)</f>
        <v>2.6876603650498901E-4</v>
      </c>
      <c r="K51">
        <f>((F51/(E51^2))^2)*G51^2</f>
        <v>1.8872643211236421E-4</v>
      </c>
      <c r="L51">
        <f>SQRT(J51+K51)</f>
        <v>2.1389073580156605E-2</v>
      </c>
      <c r="N51" s="22">
        <v>180.48099999999999</v>
      </c>
      <c r="O51" s="61">
        <f>(SQRT(2*PI())*N51*N53)/(SQRT(2*PI())*A51*A53)</f>
        <v>0.55918642285943054</v>
      </c>
      <c r="P51" s="22"/>
      <c r="Q51">
        <f>SQRT(2*PI())*N51*N53*3</f>
        <v>1460.9675645146456</v>
      </c>
      <c r="R51">
        <f>SQRT(Q51)</f>
        <v>38.22260541243422</v>
      </c>
      <c r="T51">
        <f>(1/(E51^2))*(R51^2)</f>
        <v>2.1402901960674664E-4</v>
      </c>
      <c r="U51">
        <f>((Q51/(E51^2))^2)*R51^2</f>
        <v>6.6924617604242486E-5</v>
      </c>
      <c r="V51">
        <f>SQRT(T51+U51)</f>
        <v>1.6761671671136777E-2</v>
      </c>
      <c r="W51" s="39">
        <f>(1/3)*SQRT((V51^2)+(V55^2)+(V59^2))</f>
        <v>1.370327629562572E-2</v>
      </c>
    </row>
    <row r="52" spans="1:23">
      <c r="A52" s="23">
        <v>711.37699999999995</v>
      </c>
      <c r="B52" s="23">
        <v>711.428</v>
      </c>
      <c r="N52" s="22">
        <v>711.39700000000005</v>
      </c>
    </row>
    <row r="53" spans="1:23">
      <c r="A53" s="23">
        <v>1.0198799999999999</v>
      </c>
      <c r="B53" s="23">
        <v>1.03731</v>
      </c>
      <c r="N53" s="22">
        <v>1.07646</v>
      </c>
    </row>
    <row r="55" spans="1:23">
      <c r="A55" s="23">
        <v>364.77600000000001</v>
      </c>
      <c r="B55" s="23">
        <v>261.56</v>
      </c>
      <c r="C55">
        <f>(SQRT(2*PI())*B55*B57)/(SQRT(2*PI())*A55*A57)</f>
        <v>0.66212593326919411</v>
      </c>
      <c r="E55">
        <f t="shared" si="0"/>
        <v>2706.9719161010785</v>
      </c>
      <c r="F55">
        <f>SQRT(2*PI())*B55*B57*3</f>
        <v>1792.3563062819253</v>
      </c>
      <c r="G55">
        <f>SQRT(E55)</f>
        <v>52.028568268799006</v>
      </c>
      <c r="H55">
        <f>SQRT(F55)</f>
        <v>42.336229240237316</v>
      </c>
      <c r="J55">
        <f>(1/(E55^2))*(H55^2)</f>
        <v>2.4460022260699001E-4</v>
      </c>
      <c r="K55">
        <f>((F55/(E55^2))^2)*G55^2</f>
        <v>1.6195615067150592E-4</v>
      </c>
      <c r="L55">
        <f>SQRT(J55+K55)</f>
        <v>2.0163243124023872E-2</v>
      </c>
      <c r="N55" s="22">
        <v>199.91399999999999</v>
      </c>
      <c r="O55" s="61">
        <f>(SQRT(2*PI())*N55*N57)/(SQRT(2*PI())*A55*A57)</f>
        <v>0.50914330978592715</v>
      </c>
      <c r="Q55">
        <f>SQRT(2*PI())*N55*N57*3</f>
        <v>1378.2366408612561</v>
      </c>
      <c r="R55">
        <f>SQRT(Q55)</f>
        <v>37.124609639176761</v>
      </c>
      <c r="T55">
        <f>(1/(E55^2))*(R55^2)</f>
        <v>1.8808592241298882E-4</v>
      </c>
      <c r="U55">
        <f>((Q55/(E55^2))^2)*R55^2</f>
        <v>4.8756932462766715E-5</v>
      </c>
      <c r="V55">
        <f>SQRT(T55+U55)</f>
        <v>1.5389699635657466E-2</v>
      </c>
    </row>
    <row r="56" spans="1:23">
      <c r="A56" s="23">
        <v>216.733</v>
      </c>
      <c r="B56" s="23">
        <v>216.63200000000001</v>
      </c>
      <c r="N56" s="22">
        <v>216.648</v>
      </c>
    </row>
    <row r="57" spans="1:23">
      <c r="A57" s="23">
        <v>0.98683900000000002</v>
      </c>
      <c r="B57" s="23">
        <v>0.91125900000000004</v>
      </c>
      <c r="N57" s="22">
        <v>0.91678899999999997</v>
      </c>
    </row>
    <row r="59" spans="1:23">
      <c r="A59" s="23">
        <v>83.388199999999998</v>
      </c>
      <c r="B59" s="23">
        <v>61.206200000000003</v>
      </c>
      <c r="C59">
        <f>(SQRT(2*PI())*B59*B61)/(SQRT(2*PI())*A59*A61)</f>
        <v>0.74939460571993199</v>
      </c>
      <c r="E59">
        <f t="shared" si="0"/>
        <v>675.59858063375134</v>
      </c>
      <c r="F59">
        <f>SQRT(2*PI())*B59*B61*3</f>
        <v>506.28993195897579</v>
      </c>
      <c r="G59">
        <f>SQRT(E59)</f>
        <v>25.992279250457266</v>
      </c>
      <c r="H59">
        <f>SQRT(F59)</f>
        <v>22.500887359368203</v>
      </c>
      <c r="J59">
        <f>(1/(E59^2))*(H59^2)</f>
        <v>1.1092305804090881E-3</v>
      </c>
      <c r="K59">
        <f>((F59/(E59^2))^2)*G59^2</f>
        <v>8.3125141345815994E-4</v>
      </c>
      <c r="L59">
        <f>SQRT(J59+K59)</f>
        <v>4.4050902304802429E-2</v>
      </c>
      <c r="N59" s="22">
        <v>50.741300000000003</v>
      </c>
      <c r="O59" s="61">
        <f>(SQRT(2*PI())*N59*N61)/(SQRT(2*PI())*A59*A61)</f>
        <v>0.58832080507994455</v>
      </c>
      <c r="Q59">
        <f>SQRT(2*PI())*N59*N61*3</f>
        <v>397.46870086931642</v>
      </c>
      <c r="R59">
        <f>SQRT(Q59)</f>
        <v>19.936617086891054</v>
      </c>
      <c r="T59">
        <f>(1/(E59^2))*(R59^2)</f>
        <v>8.7081415198958067E-4</v>
      </c>
      <c r="U59">
        <f>((Q59/(E59^2))^2)*R59^2</f>
        <v>3.0140738703199468E-4</v>
      </c>
      <c r="V59">
        <f>SQRT(T59+U59)</f>
        <v>3.4237720996315966E-2</v>
      </c>
    </row>
    <row r="60" spans="1:23">
      <c r="A60" s="23">
        <v>530.23199999999997</v>
      </c>
      <c r="B60" s="23">
        <v>530.36099999999999</v>
      </c>
      <c r="N60" s="22">
        <v>530.245</v>
      </c>
    </row>
    <row r="61" spans="1:23">
      <c r="A61" s="23">
        <v>1.0773900000000001</v>
      </c>
      <c r="B61" s="23">
        <v>1.1000000000000001</v>
      </c>
      <c r="N61" s="22">
        <v>1.0416700000000001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A9F3-248A-AB47-8923-DE3F5B27901D}">
  <dimension ref="A2:W41"/>
  <sheetViews>
    <sheetView workbookViewId="0">
      <selection activeCell="F48" sqref="F48"/>
    </sheetView>
  </sheetViews>
  <sheetFormatPr baseColWidth="10" defaultRowHeight="18"/>
  <sheetData>
    <row r="2" spans="1:23">
      <c r="B2" t="s">
        <v>255</v>
      </c>
      <c r="J2" t="s">
        <v>247</v>
      </c>
    </row>
    <row r="6" spans="1:23">
      <c r="B6" t="s">
        <v>242</v>
      </c>
      <c r="C6" t="s">
        <v>243</v>
      </c>
      <c r="E6" t="s">
        <v>14</v>
      </c>
      <c r="F6" t="s">
        <v>244</v>
      </c>
      <c r="G6" t="s">
        <v>245</v>
      </c>
      <c r="J6" t="s">
        <v>242</v>
      </c>
      <c r="K6" t="s">
        <v>243</v>
      </c>
      <c r="M6" t="s">
        <v>14</v>
      </c>
      <c r="N6" t="s">
        <v>244</v>
      </c>
      <c r="O6" t="s">
        <v>245</v>
      </c>
    </row>
    <row r="7" spans="1:23">
      <c r="A7" t="s">
        <v>249</v>
      </c>
      <c r="B7" s="23">
        <v>260.32299999999998</v>
      </c>
      <c r="C7" s="23">
        <v>9.4013299999999997</v>
      </c>
      <c r="E7" s="61">
        <f>SQRT(2*PI())*2*B7*B9</f>
        <v>1417.3277606751487</v>
      </c>
      <c r="F7">
        <f>SQRT(E7)</f>
        <v>37.647413731558622</v>
      </c>
      <c r="G7" s="39">
        <f>SQRT(2*PI())*2*SQRT((B7^2*C9^2)+(B9^2*C7^2))</f>
        <v>64.681899914250394</v>
      </c>
      <c r="J7" s="23">
        <v>511.03800000000001</v>
      </c>
      <c r="K7" s="23">
        <v>16.144100000000002</v>
      </c>
      <c r="M7" s="61">
        <f>SQRT(2*PI())*2*J7*J9</f>
        <v>2581.7173474910064</v>
      </c>
      <c r="N7">
        <f>SQRT(M7)</f>
        <v>50.810602707417338</v>
      </c>
      <c r="O7" s="39">
        <f>SQRT(2*PI())*2*SQRT((J7^2*K9^2)+(J9^2*K7^2))</f>
        <v>112.31750734691487</v>
      </c>
      <c r="R7" s="23"/>
      <c r="S7" s="23"/>
      <c r="U7" s="61"/>
      <c r="W7" s="39"/>
    </row>
    <row r="8" spans="1:23">
      <c r="B8" s="23">
        <v>711.38599999999997</v>
      </c>
      <c r="C8" s="23">
        <v>3.3131800000000003E-2</v>
      </c>
      <c r="J8" s="23">
        <v>711.37</v>
      </c>
      <c r="K8" s="23">
        <v>3.0425600000000001E-2</v>
      </c>
      <c r="R8" s="23"/>
      <c r="S8" s="23"/>
    </row>
    <row r="9" spans="1:23">
      <c r="B9" s="23">
        <v>1.08602</v>
      </c>
      <c r="C9" s="23">
        <v>3.0301000000000002E-2</v>
      </c>
      <c r="J9" s="23">
        <v>1.0077100000000001</v>
      </c>
      <c r="K9" s="23">
        <v>3.0142200000000001E-2</v>
      </c>
      <c r="R9" s="23"/>
      <c r="S9" s="23"/>
    </row>
    <row r="11" spans="1:23">
      <c r="A11" t="s">
        <v>250</v>
      </c>
      <c r="B11" s="23">
        <v>260.18799999999999</v>
      </c>
      <c r="C11" s="23">
        <v>9.3896099999999993</v>
      </c>
      <c r="E11" s="61">
        <f>SQRT(2*PI())*2*B11*B13</f>
        <v>1422.6059877858004</v>
      </c>
      <c r="F11">
        <f>SQRT(E11)</f>
        <v>37.717449380701773</v>
      </c>
      <c r="G11" s="39">
        <f>SQRT(2*PI())*2*SQRT((B11^2*C13^2)+(B13^2*C11^2))</f>
        <v>64.548207493649855</v>
      </c>
      <c r="J11" s="23"/>
      <c r="K11" s="23"/>
      <c r="M11" s="61"/>
      <c r="O11" s="39"/>
      <c r="R11" s="23"/>
      <c r="S11" s="23"/>
      <c r="U11" s="61"/>
      <c r="W11" s="39"/>
    </row>
    <row r="12" spans="1:23">
      <c r="B12" s="23">
        <v>711.38300000000004</v>
      </c>
      <c r="C12" s="23">
        <v>3.2983199999999997E-2</v>
      </c>
      <c r="J12" s="23"/>
      <c r="K12" s="23"/>
      <c r="R12" s="23"/>
      <c r="S12" s="23"/>
    </row>
    <row r="13" spans="1:23">
      <c r="B13" s="23">
        <v>1.09063</v>
      </c>
      <c r="C13" s="23">
        <v>2.9995299999999999E-2</v>
      </c>
      <c r="J13" s="23"/>
      <c r="K13" s="23"/>
      <c r="R13" s="23"/>
      <c r="S13" s="23"/>
    </row>
    <row r="15" spans="1:23">
      <c r="A15" t="s">
        <v>251</v>
      </c>
      <c r="B15" s="23">
        <v>259.55700000000002</v>
      </c>
      <c r="C15" s="23">
        <v>9.5656099999999995</v>
      </c>
      <c r="E15" s="61">
        <f>SQRT(2*PI())*2*B15*B17</f>
        <v>1369.8915172141715</v>
      </c>
      <c r="F15">
        <f>SQRT(E15)</f>
        <v>37.012045569168038</v>
      </c>
      <c r="G15" s="39">
        <f>SQRT(2*PI())*2*SQRT((B15^2*C17^2)+(B17^2*C15^2))</f>
        <v>72.85629538262063</v>
      </c>
      <c r="J15" s="23"/>
      <c r="K15" s="23"/>
      <c r="M15" s="61"/>
      <c r="O15" s="39"/>
      <c r="R15" s="23"/>
      <c r="S15" s="23"/>
      <c r="U15" s="61"/>
      <c r="W15" s="39"/>
    </row>
    <row r="16" spans="1:23">
      <c r="B16" s="23">
        <v>711.44100000000003</v>
      </c>
      <c r="C16" s="23">
        <v>3.6733300000000003E-2</v>
      </c>
      <c r="J16" s="23"/>
      <c r="K16" s="23"/>
      <c r="R16" s="23"/>
      <c r="S16" s="23"/>
    </row>
    <row r="17" spans="1:19">
      <c r="B17" s="23">
        <v>1.05277</v>
      </c>
      <c r="C17" s="23">
        <v>4.0368599999999998E-2</v>
      </c>
      <c r="J17" s="23"/>
      <c r="K17" s="23"/>
      <c r="R17" s="23"/>
      <c r="S17" s="23"/>
    </row>
    <row r="19" spans="1:19">
      <c r="B19" s="23"/>
      <c r="C19" s="23"/>
      <c r="E19" s="61"/>
      <c r="G19" s="39"/>
      <c r="J19" s="23"/>
      <c r="K19" s="23"/>
      <c r="M19" s="61"/>
      <c r="O19" s="39"/>
      <c r="R19" s="39"/>
      <c r="S19" s="89"/>
    </row>
    <row r="20" spans="1:19">
      <c r="B20" s="23"/>
      <c r="C20" s="23"/>
      <c r="J20" s="23"/>
      <c r="K20" s="23"/>
    </row>
    <row r="21" spans="1:19">
      <c r="B21" s="23"/>
      <c r="C21" s="23"/>
      <c r="J21" s="23"/>
      <c r="K21" s="23"/>
    </row>
    <row r="28" spans="1:19">
      <c r="A28" t="s">
        <v>248</v>
      </c>
    </row>
    <row r="32" spans="1:19">
      <c r="A32" t="s">
        <v>242</v>
      </c>
      <c r="B32" t="s">
        <v>252</v>
      </c>
      <c r="D32" t="s">
        <v>253</v>
      </c>
    </row>
    <row r="33" spans="1:4">
      <c r="A33" s="39">
        <f>(E7/M7)*100</f>
        <v>54.898641869240727</v>
      </c>
      <c r="B33" s="61">
        <f>SQRT((G7^2/M7^2)+(E7^2*O7^2/M7^4))*100</f>
        <v>3.4613900530339983</v>
      </c>
      <c r="D33">
        <f>SQRT(1^2+3^2)</f>
        <v>3.1622776601683795</v>
      </c>
    </row>
    <row r="34" spans="1:4">
      <c r="A34" s="39"/>
    </row>
    <row r="35" spans="1:4">
      <c r="A35" s="39"/>
    </row>
    <row r="36" spans="1:4">
      <c r="A36" s="39"/>
    </row>
    <row r="37" spans="1:4">
      <c r="A37" s="39"/>
      <c r="B37" s="61"/>
    </row>
    <row r="38" spans="1:4">
      <c r="A38" s="39"/>
    </row>
    <row r="39" spans="1:4">
      <c r="A39" s="39"/>
    </row>
    <row r="40" spans="1:4">
      <c r="A40" s="39"/>
    </row>
    <row r="41" spans="1:4">
      <c r="A41" s="39"/>
      <c r="B41" s="6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B2EF7-9F42-EF4B-B0A3-A6E379807E76}">
  <dimension ref="A1:H29"/>
  <sheetViews>
    <sheetView workbookViewId="0">
      <selection activeCell="H5" sqref="H5"/>
    </sheetView>
  </sheetViews>
  <sheetFormatPr baseColWidth="10" defaultRowHeight="18"/>
  <cols>
    <col min="1" max="1" width="19.125" customWidth="1"/>
    <col min="2" max="2" width="12.75" customWidth="1"/>
    <col min="8" max="8" width="14.5" customWidth="1"/>
  </cols>
  <sheetData>
    <row r="1" spans="1:8">
      <c r="C1" t="s">
        <v>266</v>
      </c>
      <c r="D1" t="s">
        <v>267</v>
      </c>
      <c r="G1" t="s">
        <v>262</v>
      </c>
      <c r="H1" t="s">
        <v>261</v>
      </c>
    </row>
    <row r="3" spans="1:8">
      <c r="A3" s="90" t="s">
        <v>263</v>
      </c>
      <c r="C3" s="22">
        <v>111.41800000000001</v>
      </c>
      <c r="D3">
        <f>SQRT(2*PI())*C3*C5*3</f>
        <v>893.98651263818044</v>
      </c>
    </row>
    <row r="4" spans="1:8">
      <c r="C4" s="22">
        <v>867.21100000000001</v>
      </c>
    </row>
    <row r="5" spans="1:8">
      <c r="C5" s="22">
        <v>1.0669999999999999</v>
      </c>
    </row>
    <row r="7" spans="1:8">
      <c r="A7" s="90" t="s">
        <v>264</v>
      </c>
      <c r="C7" s="22">
        <v>148.321</v>
      </c>
      <c r="D7">
        <f>SQRT(2*PI())*C7*C9*3</f>
        <v>1184.0739716900248</v>
      </c>
    </row>
    <row r="8" spans="1:8">
      <c r="C8" s="22">
        <v>867.20799999999997</v>
      </c>
    </row>
    <row r="9" spans="1:8">
      <c r="C9" s="22">
        <v>1.0616099999999999</v>
      </c>
    </row>
    <row r="11" spans="1:8">
      <c r="A11" s="90" t="s">
        <v>265</v>
      </c>
      <c r="C11" s="22">
        <v>148.03</v>
      </c>
      <c r="D11">
        <f>SQRT(2*PI())*C11*C13*3</f>
        <v>1180.3260091313925</v>
      </c>
    </row>
    <row r="12" spans="1:8">
      <c r="C12" s="22">
        <v>867.20799999999997</v>
      </c>
    </row>
    <row r="13" spans="1:8">
      <c r="C13" s="22">
        <v>1.06033</v>
      </c>
    </row>
    <row r="15" spans="1:8">
      <c r="A15" s="90" t="s">
        <v>268</v>
      </c>
      <c r="C15" s="22">
        <v>110.09699999999999</v>
      </c>
      <c r="D15">
        <f>SQRT(2*PI())*C15*C17*3</f>
        <v>890.27544977838465</v>
      </c>
    </row>
    <row r="16" spans="1:8">
      <c r="C16" s="22">
        <v>867.22299999999996</v>
      </c>
    </row>
    <row r="17" spans="1:4">
      <c r="C17" s="22">
        <v>1.0753200000000001</v>
      </c>
    </row>
    <row r="19" spans="1:4">
      <c r="A19" s="90" t="s">
        <v>269</v>
      </c>
      <c r="C19" s="22">
        <v>148.46899999999999</v>
      </c>
      <c r="D19">
        <f>SQRT(2*PI())*C19*C21*3</f>
        <v>1191.0276318215319</v>
      </c>
    </row>
    <row r="20" spans="1:4">
      <c r="C20" s="22">
        <v>867.21100000000001</v>
      </c>
    </row>
    <row r="21" spans="1:4">
      <c r="C21" s="22">
        <v>1.0667800000000001</v>
      </c>
    </row>
    <row r="23" spans="1:4">
      <c r="A23" t="s">
        <v>270</v>
      </c>
      <c r="C23" s="22">
        <v>109.932</v>
      </c>
      <c r="D23">
        <f>SQRT(2*PI())*C23*C25*3</f>
        <v>898.100782999167</v>
      </c>
    </row>
    <row r="24" spans="1:4">
      <c r="C24" s="22">
        <v>867.21400000000006</v>
      </c>
    </row>
    <row r="25" spans="1:4">
      <c r="C25" s="22">
        <v>1.0864</v>
      </c>
    </row>
    <row r="27" spans="1:4">
      <c r="A27" s="90" t="s">
        <v>271</v>
      </c>
      <c r="C27" s="22">
        <v>132.22</v>
      </c>
      <c r="D27">
        <f>SQRT(2*PI())*C27*C29*3</f>
        <v>1060.0109674373871</v>
      </c>
    </row>
    <row r="28" spans="1:4">
      <c r="C28" s="22">
        <v>867.21500000000003</v>
      </c>
    </row>
    <row r="29" spans="1:4">
      <c r="C29" s="22">
        <v>1.0661099999999999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FB528-4B54-A84D-90FA-EEA12B7FC8B5}">
  <dimension ref="A1:G11"/>
  <sheetViews>
    <sheetView workbookViewId="0">
      <selection activeCell="F15" sqref="F15"/>
    </sheetView>
  </sheetViews>
  <sheetFormatPr baseColWidth="10" defaultRowHeight="18"/>
  <sheetData>
    <row r="1" spans="1:7">
      <c r="A1">
        <v>12484</v>
      </c>
      <c r="C1">
        <v>4220.95</v>
      </c>
      <c r="F1">
        <v>6818</v>
      </c>
    </row>
    <row r="2" spans="1:7">
      <c r="C2">
        <f>$A$1-C1</f>
        <v>8263.0499999999993</v>
      </c>
      <c r="F2">
        <f>$A$1-F1</f>
        <v>5666</v>
      </c>
    </row>
    <row r="4" spans="1:7">
      <c r="C4" s="22">
        <v>41.44</v>
      </c>
      <c r="D4" s="23">
        <v>33.179000000000002</v>
      </c>
      <c r="F4" s="23">
        <v>14.7844</v>
      </c>
      <c r="G4" s="23">
        <v>11.5686</v>
      </c>
    </row>
    <row r="5" spans="1:7">
      <c r="C5" s="22">
        <v>2872.27</v>
      </c>
      <c r="D5" s="23">
        <v>2872.21</v>
      </c>
      <c r="F5" s="23">
        <v>3559.01</v>
      </c>
      <c r="G5" s="23">
        <v>3559.25</v>
      </c>
    </row>
    <row r="6" spans="1:7">
      <c r="C6" s="22">
        <v>2.3550499999999999</v>
      </c>
      <c r="D6" s="23">
        <v>2.2671399999999999</v>
      </c>
      <c r="F6" s="23">
        <v>2.1241500000000002</v>
      </c>
      <c r="G6" s="23">
        <v>2.1790099999999999</v>
      </c>
    </row>
    <row r="8" spans="1:7">
      <c r="C8">
        <f>SQRT(2*PI())*C4*C6</f>
        <v>244.63005500895389</v>
      </c>
      <c r="D8">
        <f>SQRT(2*PI())*D4*D6</f>
        <v>188.55218349960046</v>
      </c>
      <c r="F8">
        <f>SQRT(2*PI())*F4*F6</f>
        <v>78.718864364037017</v>
      </c>
      <c r="G8">
        <f>SQRT(2*PI())*G4*G6</f>
        <v>63.187323892154375</v>
      </c>
    </row>
    <row r="11" spans="1:7">
      <c r="B11">
        <f>(D8/C8)*100</f>
        <v>77.076458774740132</v>
      </c>
      <c r="E11">
        <f>(G8/F8)*100</f>
        <v>80.26960805728001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C6309-A58B-6542-A774-57FD4F318D67}">
  <dimension ref="A1:D28"/>
  <sheetViews>
    <sheetView zoomScale="110" zoomScaleNormal="110" workbookViewId="0">
      <selection activeCell="B19" sqref="B19"/>
    </sheetView>
  </sheetViews>
  <sheetFormatPr baseColWidth="10" defaultRowHeight="18"/>
  <cols>
    <col min="1" max="1" width="13.875" bestFit="1" customWidth="1"/>
    <col min="2" max="2" width="12.875" bestFit="1" customWidth="1"/>
    <col min="3" max="3" width="17.75" customWidth="1"/>
    <col min="4" max="4" width="84" customWidth="1"/>
    <col min="5" max="5" width="11" bestFit="1" customWidth="1"/>
  </cols>
  <sheetData>
    <row r="1" spans="1:4">
      <c r="A1" s="59" t="s">
        <v>170</v>
      </c>
      <c r="B1" s="59" t="s">
        <v>171</v>
      </c>
      <c r="C1" s="58"/>
      <c r="D1" s="26" t="s">
        <v>90</v>
      </c>
    </row>
    <row r="2" spans="1:4">
      <c r="A2" s="24">
        <v>3791110</v>
      </c>
      <c r="B2" s="36">
        <v>635655</v>
      </c>
      <c r="C2" s="58"/>
    </row>
    <row r="3" spans="1:4">
      <c r="A3" s="58"/>
      <c r="B3" s="58"/>
      <c r="C3" s="58"/>
    </row>
    <row r="4" spans="1:4">
      <c r="A4" s="59" t="s">
        <v>172</v>
      </c>
      <c r="B4" s="59" t="s">
        <v>173</v>
      </c>
      <c r="C4" s="59" t="s">
        <v>175</v>
      </c>
      <c r="D4" t="s">
        <v>177</v>
      </c>
    </row>
    <row r="5" spans="1:4">
      <c r="A5" s="39">
        <v>0.77</v>
      </c>
      <c r="B5" s="39">
        <v>0.54</v>
      </c>
      <c r="C5" s="25">
        <f>(A5/B5)*(B2/A2)*100</f>
        <v>23.908484439766834</v>
      </c>
    </row>
    <row r="6" spans="1:4">
      <c r="A6" s="59" t="s">
        <v>174</v>
      </c>
      <c r="B6" s="59" t="s">
        <v>173</v>
      </c>
      <c r="C6" s="59" t="s">
        <v>176</v>
      </c>
      <c r="D6" t="s">
        <v>178</v>
      </c>
    </row>
    <row r="7" spans="1:4">
      <c r="A7" s="58">
        <v>0.22700000000000001</v>
      </c>
      <c r="B7" s="58">
        <v>0.54191</v>
      </c>
      <c r="C7" s="58">
        <f>(A7*B7*A2)/B2</f>
        <v>0.73366523564307684</v>
      </c>
    </row>
    <row r="8" spans="1:4">
      <c r="A8" s="26"/>
      <c r="B8" s="26"/>
      <c r="C8" s="26"/>
    </row>
    <row r="16" spans="1:4">
      <c r="A16" s="35"/>
    </row>
    <row r="17" spans="1:4">
      <c r="A17" s="22"/>
    </row>
    <row r="18" spans="1:4">
      <c r="A18" t="s">
        <v>226</v>
      </c>
      <c r="B18">
        <v>3791000</v>
      </c>
      <c r="C18">
        <v>2000</v>
      </c>
    </row>
    <row r="19" spans="1:4">
      <c r="A19" t="s">
        <v>227</v>
      </c>
      <c r="B19">
        <v>635700</v>
      </c>
      <c r="C19">
        <v>800</v>
      </c>
    </row>
    <row r="20" spans="1:4">
      <c r="A20" t="s">
        <v>228</v>
      </c>
      <c r="B20" s="88">
        <v>0.77</v>
      </c>
      <c r="C20">
        <v>0.03</v>
      </c>
    </row>
    <row r="21" spans="1:4">
      <c r="A21" t="s">
        <v>209</v>
      </c>
      <c r="B21">
        <v>0.54</v>
      </c>
      <c r="C21">
        <v>0.03</v>
      </c>
    </row>
    <row r="22" spans="1:4">
      <c r="A22" s="25"/>
      <c r="C22" s="25"/>
    </row>
    <row r="25" spans="1:4">
      <c r="B25">
        <f>((B20/(B18*B21))^2*(C19^2))</f>
        <v>9.0545388363806116E-8</v>
      </c>
      <c r="D25" s="25">
        <f>SQRT(B25+B26+B27+B28)*100</f>
        <v>1.6228144956809905</v>
      </c>
    </row>
    <row r="26" spans="1:4">
      <c r="B26">
        <f>((B19/(B18*B21))^2)*(C20^2)</f>
        <v>8.678643399087719E-5</v>
      </c>
    </row>
    <row r="27" spans="1:4">
      <c r="B27">
        <f>(((B19*B20)/((B18^2)*B21))^2)*(C18^2)</f>
        <v>1.591267552508795E-8</v>
      </c>
    </row>
    <row r="28" spans="1:4">
      <c r="B28">
        <f>(((B19*B20)/(B18*(B21^2)))^2)*(C21^2)</f>
        <v>1.7645979668446876E-4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EBB42-80C6-C840-889E-F6337E683372}">
  <dimension ref="A1:G39"/>
  <sheetViews>
    <sheetView workbookViewId="0">
      <selection activeCell="F56" sqref="F56"/>
    </sheetView>
  </sheetViews>
  <sheetFormatPr baseColWidth="10" defaultRowHeight="16"/>
  <cols>
    <col min="1" max="1" width="25.5" style="1" customWidth="1"/>
    <col min="2" max="2" width="13.5" style="1" customWidth="1"/>
    <col min="3" max="3" width="13.75" style="1" customWidth="1"/>
    <col min="4" max="4" width="19.25" style="1" customWidth="1"/>
    <col min="5" max="5" width="38.125" style="1" customWidth="1"/>
    <col min="6" max="6" width="45.25" style="1" customWidth="1"/>
    <col min="7" max="16384" width="10.625" style="1"/>
  </cols>
  <sheetData>
    <row r="1" spans="1:7" ht="23">
      <c r="A1" s="21" t="s">
        <v>169</v>
      </c>
      <c r="B1" s="5" t="s">
        <v>168</v>
      </c>
      <c r="C1" s="5" t="s">
        <v>167</v>
      </c>
      <c r="D1" s="5" t="s">
        <v>1</v>
      </c>
      <c r="E1" s="5" t="s">
        <v>166</v>
      </c>
      <c r="F1" s="5" t="s">
        <v>90</v>
      </c>
    </row>
    <row r="2" spans="1:7" ht="18">
      <c r="A2" s="82">
        <v>28.273599999999998</v>
      </c>
      <c r="B2" s="82">
        <v>703.178</v>
      </c>
      <c r="C2" s="82">
        <v>422.08199999999999</v>
      </c>
      <c r="D2" s="3">
        <f>B5/C5</f>
        <v>1.5643263100323836</v>
      </c>
      <c r="E2" s="3">
        <f>(D2+D7)/2</f>
        <v>1.5073192750975726</v>
      </c>
      <c r="F2" s="81"/>
    </row>
    <row r="3" spans="1:7" ht="18">
      <c r="A3" s="82">
        <v>4.0595600000000003E-2</v>
      </c>
      <c r="B3" s="82">
        <v>247.69300000000001</v>
      </c>
      <c r="C3" s="82">
        <v>247.756</v>
      </c>
      <c r="D3" s="3">
        <f>SQRT(((1/C5)^2*B6^2)+((B5/(C5^2))^2*C6^2))</f>
        <v>5.9425042954103162E-2</v>
      </c>
      <c r="E3" s="3">
        <f>0.5*SQRT(D3^2+D8^2)</f>
        <v>6.3147271267017677E-2</v>
      </c>
      <c r="F3" s="81"/>
    </row>
    <row r="4" spans="1:7" ht="18">
      <c r="A4" s="82">
        <v>3.8846499999999999E-2</v>
      </c>
      <c r="B4" s="82">
        <v>1.00817</v>
      </c>
      <c r="C4" s="82">
        <v>1.07368</v>
      </c>
      <c r="D4" s="3"/>
      <c r="E4" s="3"/>
      <c r="F4" s="81"/>
    </row>
    <row r="5" spans="1:7" ht="18">
      <c r="A5" s="81"/>
      <c r="B5" s="3">
        <f>SQRT(2*PI())*B2*B4</f>
        <v>1777.006346749338</v>
      </c>
      <c r="C5" s="3">
        <f>SQRT(2*PI())*C2*C4</f>
        <v>1135.9563125372172</v>
      </c>
      <c r="D5" s="3"/>
      <c r="E5" s="3"/>
      <c r="F5" s="81"/>
    </row>
    <row r="6" spans="1:7" ht="18">
      <c r="A6" s="81"/>
      <c r="B6" s="3">
        <f>SQRT(B5)</f>
        <v>42.154553096306664</v>
      </c>
      <c r="C6" s="3">
        <f>SQRT(C5)</f>
        <v>33.703950992980289</v>
      </c>
      <c r="D6" s="3"/>
      <c r="E6" s="3"/>
      <c r="F6" s="81"/>
    </row>
    <row r="7" spans="1:7" ht="18">
      <c r="A7" s="82">
        <v>11.787800000000001</v>
      </c>
      <c r="B7" s="82">
        <v>120.553</v>
      </c>
      <c r="C7" s="82">
        <v>72.070499999999996</v>
      </c>
      <c r="D7" s="3">
        <f>B10/C10</f>
        <v>1.4503122401627617</v>
      </c>
      <c r="E7" s="3"/>
      <c r="F7" s="3" t="s">
        <v>187</v>
      </c>
    </row>
    <row r="8" spans="1:7" ht="18">
      <c r="A8" s="82">
        <v>0.13925000000000001</v>
      </c>
      <c r="B8" s="82">
        <v>1045.82</v>
      </c>
      <c r="C8" s="82">
        <v>1046.1500000000001</v>
      </c>
      <c r="D8" s="3">
        <f>SQRT(((1/C10)^2*B11^2)+((B10/(C10^2))^2*C11^2))</f>
        <v>0.11144045828954698</v>
      </c>
      <c r="E8" s="3"/>
      <c r="F8" s="3" t="s">
        <v>165</v>
      </c>
    </row>
    <row r="9" spans="1:7" ht="18">
      <c r="A9" s="82">
        <v>0.14096900000000001</v>
      </c>
      <c r="B9" s="82">
        <v>1.37338</v>
      </c>
      <c r="C9" s="82">
        <v>1.5839799999999999</v>
      </c>
      <c r="D9" s="81"/>
      <c r="E9" s="81"/>
      <c r="F9" s="81"/>
    </row>
    <row r="10" spans="1:7" ht="18">
      <c r="A10" s="81"/>
      <c r="B10" s="3">
        <f>SQRT(2*PI())*B7*B9</f>
        <v>415.0101086638432</v>
      </c>
      <c r="C10" s="3">
        <f>SQRT(2*PI())*C7*C9</f>
        <v>286.15224857873955</v>
      </c>
      <c r="D10" s="81"/>
      <c r="E10" s="81"/>
      <c r="F10" s="81"/>
    </row>
    <row r="11" spans="1:7" ht="18">
      <c r="A11" s="81"/>
      <c r="B11" s="3">
        <f>SQRT(B10)</f>
        <v>20.371796893348492</v>
      </c>
      <c r="C11" s="3">
        <f>SQRT(C10)</f>
        <v>16.916035249985132</v>
      </c>
      <c r="D11" s="81"/>
      <c r="E11" s="81"/>
      <c r="F11" s="81"/>
    </row>
    <row r="12" spans="1:7" ht="18">
      <c r="A12" s="5"/>
      <c r="B12" s="81"/>
      <c r="C12" s="81"/>
      <c r="D12" s="81"/>
      <c r="E12" s="81"/>
      <c r="F12" s="81"/>
    </row>
    <row r="13" spans="1:7" ht="18">
      <c r="A13" s="20"/>
      <c r="B13" s="22"/>
      <c r="C13" s="6"/>
      <c r="D13" s="3"/>
      <c r="F13" s="3"/>
    </row>
    <row r="14" spans="1:7" ht="18">
      <c r="A14" s="5"/>
      <c r="B14" s="22"/>
      <c r="C14" s="6"/>
      <c r="D14" s="7"/>
      <c r="F14" s="3"/>
    </row>
    <row r="15" spans="1:7" ht="23">
      <c r="A15" s="21" t="s">
        <v>217</v>
      </c>
      <c r="B15" s="77" t="s">
        <v>218</v>
      </c>
      <c r="C15" s="78" t="s">
        <v>219</v>
      </c>
      <c r="D15" s="5" t="s">
        <v>221</v>
      </c>
      <c r="E15" s="20" t="s">
        <v>220</v>
      </c>
      <c r="F15" s="5" t="s">
        <v>172</v>
      </c>
      <c r="G15" s="5"/>
    </row>
    <row r="16" spans="1:7" ht="18">
      <c r="A16" s="83">
        <v>15.8911</v>
      </c>
      <c r="B16" s="83">
        <v>359.89100000000002</v>
      </c>
      <c r="C16" s="82">
        <v>703.178</v>
      </c>
      <c r="D16" s="82">
        <v>422.08199999999999</v>
      </c>
      <c r="E16" s="84"/>
      <c r="F16" s="3"/>
    </row>
    <row r="17" spans="1:7" ht="18">
      <c r="A17" s="83">
        <v>3.8705700000000003E-2</v>
      </c>
      <c r="B17" s="83">
        <v>247.733</v>
      </c>
      <c r="C17" s="82">
        <v>247.69300000000001</v>
      </c>
      <c r="D17" s="82">
        <v>247.756</v>
      </c>
      <c r="E17" s="3"/>
      <c r="F17" s="3"/>
      <c r="G17" s="3"/>
    </row>
    <row r="18" spans="1:7" ht="18">
      <c r="A18" s="83">
        <v>3.18371E-2</v>
      </c>
      <c r="B18" s="83">
        <v>0.99354500000000001</v>
      </c>
      <c r="C18" s="82">
        <v>1.00817</v>
      </c>
      <c r="D18" s="82">
        <v>1.07368</v>
      </c>
      <c r="E18" s="3"/>
      <c r="F18" s="3"/>
      <c r="G18" s="3"/>
    </row>
    <row r="19" spans="1:7" ht="18">
      <c r="A19" s="3"/>
      <c r="B19" s="3">
        <f>SQRT(2*PI())*B16*B18</f>
        <v>896.28981725175879</v>
      </c>
      <c r="C19" s="3">
        <f>SQRT(2*PI())*C16*C18</f>
        <v>1777.006346749338</v>
      </c>
      <c r="D19" s="3">
        <f>SQRT(2*PI())*D16*D18</f>
        <v>1135.9563125372172</v>
      </c>
      <c r="E19" s="85">
        <f>B19/C19*100</f>
        <v>50.438188861358533</v>
      </c>
      <c r="F19" s="2">
        <f>B19/D19*100</f>
        <v>78.901785866205472</v>
      </c>
      <c r="G19" s="3"/>
    </row>
    <row r="20" spans="1:7" ht="18">
      <c r="A20" s="3"/>
      <c r="B20" s="32">
        <f>SQRT(B19)</f>
        <v>29.938099760201194</v>
      </c>
      <c r="C20" s="32">
        <f>SQRT(C19)</f>
        <v>42.154553096306664</v>
      </c>
      <c r="D20" s="32">
        <f>SQRT(D19)</f>
        <v>33.703950992980289</v>
      </c>
      <c r="E20" s="85">
        <f>SQRT(B30+C30)*100</f>
        <v>2.066399558708913</v>
      </c>
      <c r="F20" s="2">
        <f>SQRT(B30+D30)*100</f>
        <v>2.8842290126808572</v>
      </c>
      <c r="G20" s="3"/>
    </row>
    <row r="21" spans="1:7" ht="18">
      <c r="A21" s="83">
        <v>6.1128200000000001</v>
      </c>
      <c r="B21" s="83">
        <v>56.639800000000001</v>
      </c>
      <c r="C21" s="82">
        <v>120.553</v>
      </c>
      <c r="D21" s="82">
        <v>72.070499999999996</v>
      </c>
      <c r="E21" s="85"/>
      <c r="F21" s="2"/>
      <c r="G21" s="3"/>
    </row>
    <row r="22" spans="1:7" ht="18">
      <c r="A22" s="83">
        <v>0.131382</v>
      </c>
      <c r="B22" s="83">
        <v>1045.9100000000001</v>
      </c>
      <c r="C22" s="82">
        <v>1045.82</v>
      </c>
      <c r="D22" s="82">
        <v>1046.1500000000001</v>
      </c>
      <c r="E22" s="2"/>
      <c r="F22" s="2"/>
      <c r="G22" s="3"/>
    </row>
    <row r="23" spans="1:7" ht="18">
      <c r="A23" s="83">
        <v>0.12586900000000001</v>
      </c>
      <c r="B23" s="83">
        <v>1.36341</v>
      </c>
      <c r="C23" s="82">
        <v>1.37338</v>
      </c>
      <c r="D23" s="82">
        <v>1.5839799999999999</v>
      </c>
      <c r="E23" s="2"/>
      <c r="F23" s="2"/>
      <c r="G23" s="3"/>
    </row>
    <row r="24" spans="1:7" ht="18">
      <c r="A24" s="3"/>
      <c r="B24" s="3">
        <f>SQRT(2*PI())*B21*B23</f>
        <v>193.57003133459469</v>
      </c>
      <c r="C24" s="3">
        <f>SQRT(2*PI())*C21*C23</f>
        <v>415.0101086638432</v>
      </c>
      <c r="D24" s="3">
        <f>SQRT(2*PI())*D21*D23</f>
        <v>286.15224857873955</v>
      </c>
      <c r="E24" s="85">
        <f>B24/C24*100</f>
        <v>46.642244922131709</v>
      </c>
      <c r="F24" s="2">
        <f>B24/D24*100</f>
        <v>67.645818719237042</v>
      </c>
      <c r="G24" s="3"/>
    </row>
    <row r="25" spans="1:7" ht="18">
      <c r="A25" s="3"/>
      <c r="B25" s="32">
        <f>SQRT(B24)</f>
        <v>13.912944739867067</v>
      </c>
      <c r="C25" s="32">
        <f>SQRT(C24)</f>
        <v>20.371796893348492</v>
      </c>
      <c r="D25" s="32">
        <f>SQRT(D24)</f>
        <v>16.916035249985132</v>
      </c>
      <c r="E25" s="2">
        <f>SQRT(B35+C35)*100</f>
        <v>4.0596625487738658</v>
      </c>
      <c r="F25" s="2">
        <f>SQRT(B35+D35)*100</f>
        <v>5.218252344422929</v>
      </c>
      <c r="G25" s="3"/>
    </row>
    <row r="26" spans="1:7" ht="18">
      <c r="A26" s="3"/>
      <c r="B26" s="83"/>
      <c r="C26" s="82"/>
      <c r="D26" s="3"/>
      <c r="E26" s="2"/>
      <c r="F26" s="3"/>
    </row>
    <row r="27" spans="1:7" ht="18">
      <c r="A27" s="3"/>
      <c r="B27" s="83"/>
      <c r="C27" s="82"/>
      <c r="D27" s="3"/>
      <c r="E27" s="2"/>
      <c r="F27" s="3"/>
    </row>
    <row r="28" spans="1:7" ht="18">
      <c r="A28" s="3"/>
      <c r="B28" s="83" t="s">
        <v>229</v>
      </c>
      <c r="C28" s="82"/>
      <c r="D28" s="3"/>
      <c r="E28" s="2">
        <f>(E19+E24)/2</f>
        <v>48.540216891745118</v>
      </c>
      <c r="F28" s="2">
        <f>(F19+F24)/2</f>
        <v>73.273802292721257</v>
      </c>
    </row>
    <row r="29" spans="1:7" ht="18">
      <c r="A29" s="3"/>
      <c r="B29" s="3"/>
      <c r="C29" s="3"/>
      <c r="D29" s="3"/>
      <c r="E29" s="85">
        <f>1/2*SQRT((E20^2)+(E25^2))</f>
        <v>2.2776559851165796</v>
      </c>
      <c r="F29" s="85">
        <f>1/2*SQRT((F20^2)+(F25^2))</f>
        <v>2.9811463620420162</v>
      </c>
    </row>
    <row r="30" spans="1:7" ht="18">
      <c r="A30" s="3"/>
      <c r="B30" s="3">
        <f>((1/C19)^2)*B20^2</f>
        <v>2.8383797814579933E-4</v>
      </c>
      <c r="C30" s="3">
        <f>((B19/(C19^2))^2)*C20^2</f>
        <v>1.4316273547743981E-4</v>
      </c>
      <c r="D30" s="3">
        <f>((B19/(D19^2))^2)*D20^2</f>
        <v>5.4803972161320002E-4</v>
      </c>
      <c r="E30" s="3"/>
      <c r="F30" s="3"/>
    </row>
    <row r="31" spans="1:7" ht="18">
      <c r="A31" s="3"/>
      <c r="B31" s="3"/>
      <c r="C31" s="3"/>
      <c r="D31" s="3"/>
      <c r="E31" s="3"/>
      <c r="F31" s="3"/>
    </row>
    <row r="32" spans="1:7" ht="18">
      <c r="A32" s="3"/>
      <c r="B32" s="3"/>
      <c r="C32" s="3"/>
      <c r="D32" s="3"/>
      <c r="E32" s="3"/>
      <c r="F32" s="3"/>
    </row>
    <row r="33" spans="1:6" ht="18">
      <c r="A33" s="3"/>
      <c r="B33" s="3"/>
      <c r="C33" s="3"/>
      <c r="D33" s="3"/>
      <c r="E33" s="3"/>
      <c r="F33" s="3"/>
    </row>
    <row r="34" spans="1:6" ht="18">
      <c r="A34" s="3"/>
      <c r="B34" s="3"/>
      <c r="C34" s="3"/>
      <c r="D34" s="3"/>
      <c r="E34" s="3"/>
      <c r="F34" s="3"/>
    </row>
    <row r="35" spans="1:6" ht="18">
      <c r="A35" s="3"/>
      <c r="B35" s="3">
        <f t="shared" ref="B35" si="0">((1/C24)^2)*B25^2</f>
        <v>1.1238821404206268E-3</v>
      </c>
      <c r="C35" s="3">
        <f t="shared" ref="C35" si="1">((B24/(C24^2))^2)*C25^2</f>
        <v>5.2420386057108498E-4</v>
      </c>
      <c r="D35" s="3">
        <f t="shared" ref="D35" si="2">((B24/(D24^2))^2)*D25^2</f>
        <v>1.5991336125869128E-3</v>
      </c>
      <c r="E35" s="3"/>
      <c r="F35" s="3"/>
    </row>
    <row r="36" spans="1:6" ht="18">
      <c r="A36" s="3"/>
      <c r="B36" s="3"/>
      <c r="C36" s="3"/>
      <c r="D36" s="3"/>
      <c r="E36" s="3"/>
      <c r="F36" s="3"/>
    </row>
    <row r="37" spans="1:6" ht="18">
      <c r="A37" s="3"/>
      <c r="B37" s="3"/>
      <c r="C37" s="3"/>
      <c r="D37" s="3"/>
      <c r="E37" s="3"/>
      <c r="F37" s="3"/>
    </row>
    <row r="38" spans="1:6" ht="18">
      <c r="A38" s="3"/>
      <c r="B38" s="3"/>
      <c r="C38" s="3"/>
      <c r="D38" s="3"/>
      <c r="E38" s="3"/>
      <c r="F38" s="3"/>
    </row>
    <row r="39" spans="1:6" ht="18">
      <c r="A39" s="3"/>
      <c r="B39" s="3"/>
      <c r="C39" s="3"/>
      <c r="D39" s="3"/>
      <c r="E39" s="3"/>
      <c r="F39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EE838-3EA7-7446-BD0D-EB943F96E026}">
  <dimension ref="C2:S32"/>
  <sheetViews>
    <sheetView workbookViewId="0">
      <selection activeCell="N52" sqref="N52"/>
    </sheetView>
  </sheetViews>
  <sheetFormatPr baseColWidth="10" defaultRowHeight="18"/>
  <sheetData>
    <row r="2" spans="3:19">
      <c r="D2" t="s">
        <v>273</v>
      </c>
      <c r="E2" t="s">
        <v>252</v>
      </c>
      <c r="F2" t="s">
        <v>14</v>
      </c>
      <c r="G2" t="s">
        <v>274</v>
      </c>
      <c r="P2" t="s">
        <v>275</v>
      </c>
      <c r="Q2" t="s">
        <v>276</v>
      </c>
      <c r="R2" t="s">
        <v>277</v>
      </c>
      <c r="S2" t="s">
        <v>278</v>
      </c>
    </row>
    <row r="5" spans="3:19">
      <c r="D5" s="22">
        <v>359.66500000000002</v>
      </c>
      <c r="E5" s="22">
        <v>14.4148</v>
      </c>
      <c r="F5">
        <f>SQRT(2*PI())*2*D5*D7</f>
        <v>1783.2029988252036</v>
      </c>
      <c r="G5">
        <f>SQRT((2*SQRT(2*PI()))^2*(D7^2*E5^2+D5^2*E7^2))</f>
        <v>98.521308624672159</v>
      </c>
      <c r="P5">
        <f>F5/F17</f>
        <v>1.6091530000622336</v>
      </c>
      <c r="Q5">
        <f>SQRT((1/F17^2)*(G5^2+(F5*G17/F17)^2))</f>
        <v>0.15036124456907793</v>
      </c>
    </row>
    <row r="6" spans="3:19">
      <c r="C6" t="s">
        <v>279</v>
      </c>
      <c r="D6" s="22">
        <v>247.703</v>
      </c>
      <c r="E6" s="22">
        <v>3.916E-2</v>
      </c>
    </row>
    <row r="7" spans="3:19">
      <c r="D7" s="22">
        <v>0.98896899999999999</v>
      </c>
      <c r="E7" s="22">
        <v>3.7609999999999998E-2</v>
      </c>
      <c r="R7">
        <f>(P5+P9)/2</f>
        <v>1.5375677465761766</v>
      </c>
      <c r="S7">
        <f>SQRT((1/2^2)*(Q5^2+Q9^2))</f>
        <v>0.20652020135772661</v>
      </c>
    </row>
    <row r="9" spans="3:19">
      <c r="D9" s="22">
        <v>60.676299999999998</v>
      </c>
      <c r="E9" s="22">
        <v>6.1430199999999999</v>
      </c>
      <c r="F9">
        <f>SQRT(2*PI())*2*D9*D11</f>
        <v>412.81367023892045</v>
      </c>
      <c r="G9">
        <f>SQRT((2*SQRT(2*PI()))^2*(D11^2*E9^2+D9^2*E11^2))</f>
        <v>63.522207788974718</v>
      </c>
      <c r="P9">
        <f>F9/F21</f>
        <v>1.4659824930901197</v>
      </c>
      <c r="Q9">
        <f>SQRT((1/F21^2)*(G9^2+(F9*G21/F21)^2))</f>
        <v>0.38469971459176011</v>
      </c>
    </row>
    <row r="10" spans="3:19">
      <c r="D10" s="22">
        <v>1045.8499999999999</v>
      </c>
      <c r="E10" s="22">
        <v>0.13580999999999999</v>
      </c>
    </row>
    <row r="11" spans="3:19">
      <c r="D11" s="22">
        <v>1.35711</v>
      </c>
      <c r="E11" s="22">
        <v>0.15726000000000001</v>
      </c>
    </row>
    <row r="14" spans="3:19">
      <c r="D14" t="s">
        <v>273</v>
      </c>
      <c r="E14" t="s">
        <v>252</v>
      </c>
      <c r="F14" t="s">
        <v>14</v>
      </c>
      <c r="G14" t="s">
        <v>274</v>
      </c>
    </row>
    <row r="17" spans="3:18">
      <c r="D17" s="23">
        <v>211.63300000000001</v>
      </c>
      <c r="E17" s="23">
        <v>11.364599999999999</v>
      </c>
      <c r="F17">
        <f>SQRT(2*PI())*2*D17*D19</f>
        <v>1108.1624921659027</v>
      </c>
      <c r="G17">
        <f>SQRT((2*SQRT(2*PI()))^2*(D19^2*E17^2+D17^2*E19^2))</f>
        <v>83.508280867437492</v>
      </c>
    </row>
    <row r="18" spans="3:18">
      <c r="C18" t="s">
        <v>280</v>
      </c>
      <c r="D18" s="23">
        <v>247.75200000000001</v>
      </c>
      <c r="E18" s="23">
        <v>5.7290399999999998E-2</v>
      </c>
    </row>
    <row r="19" spans="3:18">
      <c r="D19" s="23">
        <v>1.0444800000000001</v>
      </c>
      <c r="E19" s="23">
        <v>5.52203E-2</v>
      </c>
    </row>
    <row r="21" spans="3:18">
      <c r="D21" s="23">
        <v>34.655799999999999</v>
      </c>
      <c r="E21" s="23">
        <v>4.8277599999999996</v>
      </c>
      <c r="F21">
        <f>SQRT(2*PI())*2*D21*D23</f>
        <v>281.59522517131666</v>
      </c>
      <c r="G21">
        <f>SQRT((2*SQRT(2*PI()))^2*(D23^2*E21^2+D21^2*E23^2))</f>
        <v>59.858126504043923</v>
      </c>
    </row>
    <row r="22" spans="3:18">
      <c r="D22" s="23">
        <v>1046.1099999999999</v>
      </c>
      <c r="E22" s="23">
        <v>0.228404</v>
      </c>
    </row>
    <row r="23" spans="3:18">
      <c r="D23" s="23">
        <v>1.6208</v>
      </c>
      <c r="E23" s="23">
        <v>0.26023299999999999</v>
      </c>
    </row>
    <row r="25" spans="3:18">
      <c r="J25" t="s">
        <v>282</v>
      </c>
      <c r="K25" t="s">
        <v>284</v>
      </c>
      <c r="O25" t="s">
        <v>283</v>
      </c>
      <c r="P25" t="s">
        <v>285</v>
      </c>
    </row>
    <row r="26" spans="3:18">
      <c r="D26" s="22">
        <v>354.32</v>
      </c>
      <c r="E26" s="22">
        <v>15.5298</v>
      </c>
      <c r="F26" s="61">
        <f>SQRT(2*PI())*D26*D28</f>
        <v>899.01058679242453</v>
      </c>
      <c r="G26">
        <f>SQRT((SQRT(2*PI()))^2*(D28^2*E26^2+D26^2*E28^2))</f>
        <v>48.511072940620821</v>
      </c>
      <c r="J26" s="39">
        <f>F26/F17</f>
        <v>0.81126242148415351</v>
      </c>
      <c r="K26">
        <f>SQRT((1/F17^2)*(G26^2+(F26*G17/F17)^2))</f>
        <v>7.5191728516833312E-2</v>
      </c>
      <c r="O26" s="39">
        <f>F26/F5</f>
        <v>0.50415493209954443</v>
      </c>
      <c r="P26">
        <f>SQRT((1/F5^2)*(G26^2+(F26*G5/F5)^2))</f>
        <v>3.89351865984984E-2</v>
      </c>
    </row>
    <row r="27" spans="3:18">
      <c r="C27" t="s">
        <v>281</v>
      </c>
      <c r="D27" s="22">
        <v>247.71799999999999</v>
      </c>
      <c r="E27" s="22">
        <v>3.9410000000000001E-2</v>
      </c>
      <c r="O27" s="39"/>
    </row>
    <row r="28" spans="3:18">
      <c r="D28" s="22">
        <v>1.01223</v>
      </c>
      <c r="E28" s="22">
        <v>3.1859999999999999E-2</v>
      </c>
      <c r="L28">
        <f>(J26+J30)/2</f>
        <v>0.74982343485904468</v>
      </c>
      <c r="M28">
        <f>SQRT((1/2^2)*(K26^2+K30^2))</f>
        <v>9.5830498726746052E-2</v>
      </c>
      <c r="O28" s="39"/>
      <c r="Q28">
        <f>(O26+O30)/2</f>
        <v>0.48686350595087013</v>
      </c>
      <c r="R28">
        <f>SQRT((1/2^2)*(P26^2+P30^2))</f>
        <v>5.2998930169872255E-2</v>
      </c>
    </row>
    <row r="29" spans="3:18">
      <c r="O29" s="39"/>
    </row>
    <row r="30" spans="3:18">
      <c r="D30" s="22">
        <v>57.587200000000003</v>
      </c>
      <c r="E30" s="22">
        <v>6.2183799999999998</v>
      </c>
      <c r="F30" s="61">
        <f>SQRT(2*PI())*D30*D32</f>
        <v>193.8457737048677</v>
      </c>
      <c r="G30">
        <f>SQRT((SQRT(2*PI()))^2*(D32^2*E30^2+D30^2*E32^2))</f>
        <v>27.688294461350104</v>
      </c>
      <c r="J30" s="61">
        <f>F30/F21</f>
        <v>0.68838444823393574</v>
      </c>
      <c r="K30">
        <f>SQRT((1/F21^2)*(G30^2+(F30*G21/F21)^2))</f>
        <v>0.17629560943914158</v>
      </c>
      <c r="O30" s="39">
        <f>F30/F9</f>
        <v>0.46957207980219579</v>
      </c>
      <c r="P30">
        <f>SQRT((1/F9^2)*(G30^2+(F30*G9/F9)^2))</f>
        <v>9.8588019764797447E-2</v>
      </c>
    </row>
    <row r="31" spans="3:18">
      <c r="D31" s="22">
        <v>1045.8900000000001</v>
      </c>
      <c r="E31" s="22">
        <v>0.12717999999999999</v>
      </c>
    </row>
    <row r="32" spans="3:18">
      <c r="D32" s="22">
        <v>1.3428899999999999</v>
      </c>
      <c r="E32" s="22">
        <v>0.12556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2E313-E47F-404F-9F81-3A86BAAE3BBF}">
  <dimension ref="A1:J24"/>
  <sheetViews>
    <sheetView tabSelected="1" workbookViewId="0">
      <selection activeCell="H10" sqref="H10"/>
    </sheetView>
  </sheetViews>
  <sheetFormatPr baseColWidth="10" defaultRowHeight="16"/>
  <cols>
    <col min="1" max="1" width="23.375" style="1" customWidth="1"/>
    <col min="2" max="2" width="9.5" style="1" customWidth="1"/>
    <col min="3" max="3" width="10.125" style="1" customWidth="1"/>
    <col min="4" max="4" width="10.875" style="1" bestFit="1" customWidth="1"/>
    <col min="5" max="5" width="15.375" style="1" customWidth="1"/>
    <col min="6" max="6" width="9.625" style="1" customWidth="1"/>
    <col min="7" max="7" width="10.625" style="1"/>
    <col min="8" max="8" width="27.5" style="1" customWidth="1"/>
    <col min="9" max="9" width="13.375" style="1" customWidth="1"/>
    <col min="10" max="16384" width="10.625" style="1"/>
  </cols>
  <sheetData>
    <row r="1" spans="1:10" ht="21">
      <c r="A1" s="60" t="s">
        <v>188</v>
      </c>
    </row>
    <row r="2" spans="1:10" ht="18">
      <c r="B2" s="5" t="s">
        <v>214</v>
      </c>
      <c r="C2" s="1" t="s">
        <v>292</v>
      </c>
      <c r="D2" s="5" t="s">
        <v>164</v>
      </c>
      <c r="E2" s="5" t="s">
        <v>163</v>
      </c>
      <c r="F2" s="5" t="s">
        <v>296</v>
      </c>
      <c r="G2" s="26" t="s">
        <v>208</v>
      </c>
      <c r="H2" s="5" t="s">
        <v>223</v>
      </c>
      <c r="I2" s="5"/>
      <c r="J2" s="5" t="s">
        <v>0</v>
      </c>
    </row>
    <row r="3" spans="1:10" ht="18">
      <c r="A3" s="3"/>
      <c r="B3" s="80">
        <v>0.49</v>
      </c>
      <c r="C3" s="11">
        <v>0.7</v>
      </c>
      <c r="D3" s="23">
        <v>258100</v>
      </c>
      <c r="E3" s="23">
        <v>1107000</v>
      </c>
      <c r="F3" s="92">
        <f>(D3/E3)*(C3/B3)</f>
        <v>0.33307523551425988</v>
      </c>
      <c r="G3" s="62">
        <f>0.0145</f>
        <v>1.4500000000000001E-2</v>
      </c>
      <c r="H3" s="79">
        <f>F3-2*G3</f>
        <v>0.30407523551425986</v>
      </c>
      <c r="I3" s="79"/>
      <c r="J3" s="79">
        <f>G3+H3</f>
        <v>0.31857523551425987</v>
      </c>
    </row>
    <row r="4" spans="1:10" ht="18">
      <c r="A4" s="3"/>
      <c r="B4" s="80"/>
      <c r="C4" s="11"/>
      <c r="D4" s="7"/>
      <c r="E4" s="7"/>
      <c r="F4" s="80"/>
      <c r="G4" s="91"/>
      <c r="H4" s="91"/>
      <c r="I4" s="91"/>
      <c r="J4" s="91"/>
    </row>
    <row r="5" spans="1:10" ht="18">
      <c r="A5" s="3" t="s">
        <v>230</v>
      </c>
      <c r="B5" s="80">
        <v>0.05</v>
      </c>
      <c r="C5" s="11">
        <v>0.1</v>
      </c>
      <c r="D5" s="7">
        <v>500</v>
      </c>
      <c r="E5" s="7">
        <v>1000</v>
      </c>
      <c r="F5" s="92">
        <f>SQRT(B6+C6+D6+E6)</f>
        <v>5.8478242448609233E-2</v>
      </c>
      <c r="G5" s="91">
        <v>3.8E-3</v>
      </c>
      <c r="H5" s="91">
        <f>SQRT(B7+C7+D7)</f>
        <v>5.8974489950132866E-2</v>
      </c>
      <c r="I5" s="91"/>
      <c r="J5" s="91">
        <f>SQRT((H5^2)+(G5^2))</f>
        <v>5.9096788955731956E-2</v>
      </c>
    </row>
    <row r="6" spans="1:10" ht="18">
      <c r="A6" s="6" t="s">
        <v>293</v>
      </c>
      <c r="B6" s="11">
        <f>(C3/(E3*B3))^2*D5^2</f>
        <v>4.1634052631537745E-7</v>
      </c>
      <c r="C6" s="11">
        <f>(D3/(E3*B3))^2*C5^2</f>
        <v>2.2640635206710147E-3</v>
      </c>
      <c r="D6" s="80">
        <f>(D3*C3/(E3^2*B3))^2*E5^2</f>
        <v>9.0529359045443511E-8</v>
      </c>
      <c r="E6" s="7">
        <f>(D3*C3/(E3*B3^2))^2*B5^2</f>
        <v>1.1551344493219468E-3</v>
      </c>
      <c r="F6" s="80"/>
      <c r="G6" s="80"/>
      <c r="H6" s="11"/>
      <c r="I6" s="11"/>
      <c r="J6" s="11"/>
    </row>
    <row r="7" spans="1:10" ht="18">
      <c r="A7" s="6" t="s">
        <v>294</v>
      </c>
      <c r="B7" s="80">
        <f>(F5^2)</f>
        <v>3.4197048398783227E-3</v>
      </c>
      <c r="C7" s="11">
        <f>2^2*G5^2</f>
        <v>5.7760000000000003E-5</v>
      </c>
      <c r="D7" s="7">
        <f>G3^2*B5^2</f>
        <v>5.2562500000000016E-7</v>
      </c>
      <c r="E7" s="7"/>
      <c r="F7" s="80"/>
      <c r="G7" s="80"/>
      <c r="H7" s="11"/>
      <c r="I7" s="11"/>
      <c r="J7" s="11"/>
    </row>
    <row r="8" spans="1:10" ht="18">
      <c r="A8" s="3"/>
      <c r="B8" s="80"/>
      <c r="C8" s="7"/>
      <c r="D8" s="7"/>
      <c r="E8" s="80"/>
      <c r="F8" s="11"/>
      <c r="G8" s="11"/>
      <c r="H8" s="11"/>
      <c r="I8" s="11"/>
      <c r="J8" s="11"/>
    </row>
    <row r="9" spans="1:10" ht="18">
      <c r="A9" s="3"/>
      <c r="B9" s="80"/>
      <c r="C9" s="7"/>
      <c r="D9" s="7"/>
      <c r="E9" s="80"/>
      <c r="F9" s="80"/>
      <c r="G9" s="80"/>
      <c r="H9" s="11"/>
      <c r="I9" s="11"/>
      <c r="J9" s="11"/>
    </row>
    <row r="10" spans="1:10" ht="18">
      <c r="A10" s="3"/>
      <c r="B10" s="80"/>
      <c r="C10" s="11"/>
      <c r="D10" s="11"/>
      <c r="E10" s="80"/>
      <c r="F10" s="11"/>
      <c r="G10" s="11"/>
      <c r="H10" s="11"/>
      <c r="I10" s="11"/>
      <c r="J10" s="11"/>
    </row>
    <row r="11" spans="1:10" ht="18">
      <c r="A11" s="3"/>
      <c r="B11" s="3"/>
      <c r="E11" s="3"/>
    </row>
    <row r="12" spans="1:10" ht="18">
      <c r="A12" s="3"/>
      <c r="B12" s="3"/>
      <c r="E12" s="3"/>
    </row>
    <row r="17" spans="3:4" ht="18">
      <c r="D17" s="3"/>
    </row>
    <row r="24" spans="3:4" ht="18">
      <c r="C24" s="22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1D963-F188-3C4D-AF32-2830265680AC}">
  <dimension ref="A1:G6"/>
  <sheetViews>
    <sheetView workbookViewId="0">
      <selection activeCell="K18" sqref="K18"/>
    </sheetView>
  </sheetViews>
  <sheetFormatPr baseColWidth="10" defaultRowHeight="18"/>
  <cols>
    <col min="2" max="2" width="12.875" customWidth="1"/>
    <col min="7" max="7" width="9.125" customWidth="1"/>
  </cols>
  <sheetData>
    <row r="1" spans="1:7">
      <c r="A1" s="35" t="s">
        <v>188</v>
      </c>
      <c r="C1" s="26" t="s">
        <v>163</v>
      </c>
      <c r="D1" s="26" t="s">
        <v>213</v>
      </c>
      <c r="E1" s="26" t="s">
        <v>214</v>
      </c>
      <c r="F1" s="26" t="s">
        <v>292</v>
      </c>
      <c r="G1" s="26" t="s">
        <v>208</v>
      </c>
    </row>
    <row r="2" spans="1:7">
      <c r="C2" s="23">
        <v>1107000</v>
      </c>
      <c r="D2">
        <v>5500</v>
      </c>
      <c r="E2" s="22">
        <v>0.49</v>
      </c>
      <c r="F2">
        <v>0.7</v>
      </c>
      <c r="G2" s="25">
        <f>(D2/C2)*(F2/(E2^2))*100</f>
        <v>1.4485081682692436</v>
      </c>
    </row>
    <row r="3" spans="1:7">
      <c r="E3" s="22"/>
    </row>
    <row r="4" spans="1:7">
      <c r="B4" s="26" t="s">
        <v>224</v>
      </c>
      <c r="C4">
        <f>1000</f>
        <v>1000</v>
      </c>
      <c r="D4">
        <v>500</v>
      </c>
      <c r="E4">
        <v>0.05</v>
      </c>
      <c r="F4">
        <v>0.1</v>
      </c>
      <c r="G4" s="39">
        <f>SQRT(D6+E6+F6+C6)*100</f>
        <v>0.38412173914275655</v>
      </c>
    </row>
    <row r="5" spans="1:7">
      <c r="B5" s="26"/>
    </row>
    <row r="6" spans="1:7">
      <c r="B6" s="26" t="s">
        <v>225</v>
      </c>
      <c r="C6" s="61">
        <f>(F2/(C2*E2^2))^2*D4^2</f>
        <v>1.7340296806138178E-6</v>
      </c>
      <c r="D6" s="61">
        <f>(D2/(C2*E2^2))^2*F4^2</f>
        <v>4.2819916602912646E-6</v>
      </c>
      <c r="E6" s="61">
        <f>(D2*F2/(C2^2*E2^2))^2*C4^2</f>
        <v>1.7121691017273818E-10</v>
      </c>
      <c r="F6" s="61">
        <f>(2*D2*F2/(C2*E2^3))^2*E4^2</f>
        <v>8.7387584903903332E-6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ED87E-3B64-C24F-AC59-0C835EBF5EDA}">
  <dimension ref="A1:D13"/>
  <sheetViews>
    <sheetView workbookViewId="0">
      <selection activeCell="H22" sqref="H22"/>
    </sheetView>
  </sheetViews>
  <sheetFormatPr baseColWidth="10" defaultRowHeight="18"/>
  <cols>
    <col min="2" max="2" width="12.5" customWidth="1"/>
  </cols>
  <sheetData>
    <row r="1" spans="1:4">
      <c r="A1" t="s">
        <v>182</v>
      </c>
      <c r="B1" t="s">
        <v>183</v>
      </c>
      <c r="D1" t="s">
        <v>184</v>
      </c>
    </row>
    <row r="3" spans="1:4">
      <c r="A3" s="22">
        <v>771.99599999999998</v>
      </c>
      <c r="B3" s="24">
        <v>888.31399999999996</v>
      </c>
    </row>
    <row r="4" spans="1:4">
      <c r="A4" s="22">
        <v>383.93599999999998</v>
      </c>
      <c r="B4" s="24">
        <v>383.96199999999999</v>
      </c>
    </row>
    <row r="5" spans="1:4">
      <c r="A5" s="22">
        <v>0.97599599999999997</v>
      </c>
      <c r="B5" s="24">
        <v>0.92991699999999999</v>
      </c>
    </row>
    <row r="7" spans="1:4">
      <c r="A7">
        <f>SQRT(2*PI())*A3*A5</f>
        <v>1888.6566930379788</v>
      </c>
      <c r="B7">
        <f>SQRT(2*PI())*B3*B5</f>
        <v>2070.6210660519237</v>
      </c>
      <c r="D7">
        <f>A7/B7</f>
        <v>0.91212087233281247</v>
      </c>
    </row>
    <row r="9" spans="1:4">
      <c r="A9" s="22">
        <v>231.80199999999999</v>
      </c>
      <c r="B9" s="24">
        <v>281.78399999999999</v>
      </c>
    </row>
    <row r="10" spans="1:4">
      <c r="A10" s="22">
        <v>643.24699999999996</v>
      </c>
      <c r="B10" s="24">
        <v>643.19299999999998</v>
      </c>
    </row>
    <row r="11" spans="1:4">
      <c r="A11" s="22">
        <v>0.93245599999999995</v>
      </c>
      <c r="B11" s="24">
        <v>1.00098</v>
      </c>
    </row>
    <row r="13" spans="1:4">
      <c r="A13">
        <f>SQRT(2*PI())*A9*A11</f>
        <v>541.79558379850221</v>
      </c>
      <c r="B13">
        <f>SQRT(2*PI())*B9*B11</f>
        <v>707.01994292552558</v>
      </c>
      <c r="D13">
        <f>A13/B13</f>
        <v>0.76630877137163389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DDCAB-2D63-E741-858D-EABD32ED0100}">
  <dimension ref="A1:C5"/>
  <sheetViews>
    <sheetView workbookViewId="0">
      <selection activeCell="D19" sqref="D19"/>
    </sheetView>
  </sheetViews>
  <sheetFormatPr baseColWidth="10" defaultRowHeight="18"/>
  <cols>
    <col min="1" max="1" width="10.875" bestFit="1" customWidth="1"/>
  </cols>
  <sheetData>
    <row r="1" spans="1:3">
      <c r="A1" s="26" t="s">
        <v>170</v>
      </c>
      <c r="B1" s="26" t="s">
        <v>171</v>
      </c>
    </row>
    <row r="2" spans="1:3">
      <c r="A2" s="36">
        <v>1241480</v>
      </c>
      <c r="B2" s="22">
        <v>16208.4</v>
      </c>
    </row>
    <row r="4" spans="1:3">
      <c r="A4" s="26" t="s">
        <v>172</v>
      </c>
      <c r="B4" s="26" t="s">
        <v>173</v>
      </c>
      <c r="C4" s="26" t="s">
        <v>175</v>
      </c>
    </row>
    <row r="5" spans="1:3">
      <c r="A5" s="25">
        <v>0.77900000000000003</v>
      </c>
      <c r="B5" s="25">
        <v>0.57799999999999996</v>
      </c>
      <c r="C5" s="25">
        <f>(B2/A2)*(A5/B5)*100</f>
        <v>1.7595841351537898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3C828-4E33-9640-BC5E-FFD8A4FD6CFA}">
  <dimension ref="A1:O45"/>
  <sheetViews>
    <sheetView topLeftCell="A3" workbookViewId="0">
      <selection activeCell="F9" sqref="F9"/>
    </sheetView>
  </sheetViews>
  <sheetFormatPr baseColWidth="10" defaultRowHeight="18"/>
  <cols>
    <col min="1" max="1" width="21.875" customWidth="1"/>
  </cols>
  <sheetData>
    <row r="1" spans="1:15">
      <c r="A1" s="35" t="s">
        <v>210</v>
      </c>
      <c r="B1" s="26" t="s">
        <v>182</v>
      </c>
      <c r="G1" s="26" t="s">
        <v>204</v>
      </c>
      <c r="L1" s="26" t="s">
        <v>205</v>
      </c>
      <c r="M1" s="26" t="s">
        <v>208</v>
      </c>
      <c r="N1" s="26" t="s">
        <v>209</v>
      </c>
      <c r="O1" s="26" t="s">
        <v>215</v>
      </c>
    </row>
    <row r="2" spans="1:15">
      <c r="A2" s="26" t="s">
        <v>200</v>
      </c>
      <c r="B2" s="63">
        <f>(68.856*(B5^(-0.676)))/100</f>
        <v>1.6549686378398976E-2</v>
      </c>
      <c r="C2" s="63">
        <f t="shared" ref="C2" si="0">(68.856*(C5^(-0.676)))/100</f>
        <v>6.260382576393414E-3</v>
      </c>
      <c r="D2" s="63">
        <f>(68.856*(D5^(-0.676)))/100</f>
        <v>5.2721317462434848E-3</v>
      </c>
      <c r="G2" s="63">
        <f>(68.856*(G5^(-0.676)))/100</f>
        <v>1.6550406962355872E-2</v>
      </c>
      <c r="H2" s="63">
        <f>(68.856*(H5^(-0.676)))/100</f>
        <v>6.2606656731358833E-3</v>
      </c>
      <c r="I2" s="63">
        <f>(68.856*(I5^(-0.676)))/100</f>
        <v>5.2714715184612989E-3</v>
      </c>
      <c r="J2" s="63">
        <f>(68.856*(J5^(-0.676)))/100</f>
        <v>1.8184622897557332E-2</v>
      </c>
      <c r="L2" s="23">
        <v>1107000</v>
      </c>
      <c r="M2">
        <v>1.4500000000000001E-2</v>
      </c>
      <c r="N2">
        <v>0.48499999999999999</v>
      </c>
      <c r="O2" s="39">
        <f>L2*M2</f>
        <v>16051.5</v>
      </c>
    </row>
    <row r="3" spans="1:15">
      <c r="A3" s="26"/>
    </row>
    <row r="4" spans="1:15">
      <c r="A4" s="26" t="s">
        <v>201</v>
      </c>
      <c r="B4" s="23">
        <v>425.55099999999999</v>
      </c>
      <c r="C4" s="23">
        <v>92.220600000000005</v>
      </c>
      <c r="D4" s="23">
        <v>25.5579</v>
      </c>
      <c r="G4" s="23">
        <v>222.64699999999999</v>
      </c>
      <c r="H4" s="23">
        <v>41.212000000000003</v>
      </c>
      <c r="I4" s="23">
        <v>9.6862999999999992</v>
      </c>
      <c r="J4" s="23">
        <v>10.580299999999999</v>
      </c>
      <c r="K4" s="26" t="s">
        <v>224</v>
      </c>
      <c r="L4" s="23">
        <f>1000</f>
        <v>1000</v>
      </c>
      <c r="M4" s="23">
        <v>3.8E-3</v>
      </c>
      <c r="N4" s="23">
        <v>2.3E-2</v>
      </c>
      <c r="O4">
        <f>SQRT((L2*M4)^2)</f>
        <v>4206.6000000000004</v>
      </c>
    </row>
    <row r="5" spans="1:15">
      <c r="A5" s="26"/>
      <c r="B5" s="23">
        <v>248.42500000000001</v>
      </c>
      <c r="C5" s="23">
        <v>1046.49</v>
      </c>
      <c r="D5" s="23">
        <v>1349.31</v>
      </c>
      <c r="G5" s="23">
        <v>248.40899999999999</v>
      </c>
      <c r="H5" s="23">
        <v>1046.42</v>
      </c>
      <c r="I5" s="23">
        <v>1349.56</v>
      </c>
      <c r="J5" s="23">
        <v>216.108</v>
      </c>
    </row>
    <row r="6" spans="1:15">
      <c r="A6" s="26"/>
      <c r="B6" s="23">
        <v>1.0161</v>
      </c>
      <c r="C6" s="23">
        <v>1.2176199999999999</v>
      </c>
      <c r="D6" s="23">
        <v>1.42838</v>
      </c>
      <c r="G6" s="23">
        <v>1.00502</v>
      </c>
      <c r="H6" s="23">
        <v>1.3639300000000001</v>
      </c>
      <c r="I6" s="23">
        <v>1.8105500000000001</v>
      </c>
      <c r="J6" s="23">
        <v>1.0967499999999999</v>
      </c>
      <c r="L6" s="70" t="s">
        <v>216</v>
      </c>
      <c r="M6" s="39">
        <f>(D23/(D17*M2*L2))*100</f>
        <v>105.07271792404522</v>
      </c>
      <c r="N6" s="39"/>
    </row>
    <row r="7" spans="1:15">
      <c r="A7" s="26"/>
      <c r="L7" s="26" t="s">
        <v>224</v>
      </c>
      <c r="M7" s="39">
        <f>SQRT(L12+M12+N12+O12)*100</f>
        <v>35.98363207243009</v>
      </c>
    </row>
    <row r="8" spans="1:15">
      <c r="A8" s="26" t="s">
        <v>212</v>
      </c>
      <c r="B8" s="61">
        <f>SQRT(2*PI())*B4*B6</f>
        <v>1083.8720094167466</v>
      </c>
      <c r="C8">
        <f>SQRT(2*PI())*C6*C4</f>
        <v>281.46840404834848</v>
      </c>
      <c r="D8">
        <f>SQRT(2*PI())*D6*D4</f>
        <v>91.507957404930139</v>
      </c>
      <c r="G8" s="39">
        <f>SQRT(2*PI())*G4*G6</f>
        <v>560.89489365438635</v>
      </c>
      <c r="H8" s="39">
        <f>SQRT(2*PI())*H4*H6</f>
        <v>140.89828509387078</v>
      </c>
      <c r="I8" s="39">
        <v>16</v>
      </c>
      <c r="J8" s="39">
        <f>SQRT(2*PI())*J4*J6</f>
        <v>29.086774190300449</v>
      </c>
    </row>
    <row r="9" spans="1:15">
      <c r="A9" s="26"/>
    </row>
    <row r="10" spans="1:15">
      <c r="A10" s="26" t="s">
        <v>202</v>
      </c>
      <c r="B10">
        <f>B8/B2</f>
        <v>65491.996925781066</v>
      </c>
      <c r="C10">
        <f>C8/C2</f>
        <v>44960.25612072122</v>
      </c>
      <c r="D10">
        <f>D8/D2</f>
        <v>17356.917810358525</v>
      </c>
      <c r="G10">
        <f>G8/G2</f>
        <v>33890.096777085273</v>
      </c>
      <c r="H10">
        <f>H8/H2</f>
        <v>22505.320112916481</v>
      </c>
      <c r="I10">
        <f>I8/I2</f>
        <v>3035.2056240778616</v>
      </c>
      <c r="J10">
        <f>J8/J2</f>
        <v>1599.5258386253124</v>
      </c>
    </row>
    <row r="11" spans="1:15">
      <c r="A11" s="26"/>
      <c r="L11" t="s">
        <v>229</v>
      </c>
    </row>
    <row r="12" spans="1:15">
      <c r="A12" s="26"/>
      <c r="L12" s="61">
        <f>((1/(D17*M2*L2)^2))*D24^2</f>
        <v>1.3956567634212233E-2</v>
      </c>
      <c r="M12" s="61">
        <f>((D23/((D17^2)*M2*L2))^2)*D18^2</f>
        <v>3.9699935705920911E-2</v>
      </c>
      <c r="N12" s="61">
        <f>((D23/(D17*(M2^2)*L2))^2)*(M4^2)</f>
        <v>7.5824773455457725E-2</v>
      </c>
      <c r="O12" s="61">
        <f>((D23/(D17*M2*(L2^2)))^2)*(L4^2)</f>
        <v>9.009168110583121E-7</v>
      </c>
    </row>
    <row r="13" spans="1:15">
      <c r="A13" s="26" t="s">
        <v>203</v>
      </c>
      <c r="C13">
        <f>C10/B10</f>
        <v>0.68650000352978269</v>
      </c>
      <c r="D13">
        <f>D10/B10</f>
        <v>0.26502349332893738</v>
      </c>
      <c r="H13">
        <f>H10/G10</f>
        <v>0.66406774406538172</v>
      </c>
      <c r="I13">
        <f>I10/$G$10</f>
        <v>8.9560252484439953E-2</v>
      </c>
      <c r="J13">
        <f>J10/$G$10</f>
        <v>4.7197440867351816E-2</v>
      </c>
    </row>
    <row r="16" spans="1:15">
      <c r="A16" s="35" t="s">
        <v>211</v>
      </c>
      <c r="B16" s="26" t="s">
        <v>182</v>
      </c>
      <c r="H16" s="26" t="s">
        <v>204</v>
      </c>
    </row>
    <row r="17" spans="1:14">
      <c r="A17" s="26" t="s">
        <v>200</v>
      </c>
      <c r="B17" s="63">
        <f>(68.856*(B20^(-0.676)))/100</f>
        <v>8.8769043172426242E-3</v>
      </c>
      <c r="C17" s="63">
        <f>(68.856*(C20^(-0.676)))/100</f>
        <v>1.6580560927521595E-2</v>
      </c>
      <c r="D17" s="63">
        <f>(68.856*(D20^(-0.676)))/100</f>
        <v>5.2734528170648547E-3</v>
      </c>
      <c r="E17" s="63">
        <f>(68.856*(E20^(-0.676)))/100</f>
        <v>6.2632554586870958E-3</v>
      </c>
      <c r="F17" s="63"/>
      <c r="H17" s="63">
        <f>(68.856*(H20^(-0.676)))/100</f>
        <v>1.6580425200950922E-2</v>
      </c>
      <c r="I17" s="63">
        <f>(68.856*(I20^(-0.676)))/100</f>
        <v>6.2629720715264414E-3</v>
      </c>
      <c r="J17" s="65">
        <f>(68.856*(J20^(-0.676)))/100</f>
        <v>5.2775268773856913E-3</v>
      </c>
    </row>
    <row r="18" spans="1:14">
      <c r="A18" s="26" t="s">
        <v>224</v>
      </c>
      <c r="D18">
        <v>1E-3</v>
      </c>
      <c r="J18" s="66"/>
    </row>
    <row r="19" spans="1:14">
      <c r="A19" s="26" t="s">
        <v>201</v>
      </c>
      <c r="B19" s="23">
        <v>294.02699999999999</v>
      </c>
      <c r="C19" s="23">
        <v>710.19299999999998</v>
      </c>
      <c r="D19" s="22">
        <v>30.289400000000001</v>
      </c>
      <c r="E19" s="23">
        <v>120.044</v>
      </c>
      <c r="F19" s="23"/>
      <c r="H19" s="22">
        <v>350.45400000000001</v>
      </c>
      <c r="I19" s="22">
        <v>52.873699999999999</v>
      </c>
      <c r="J19" s="67">
        <v>8.4990600000000001</v>
      </c>
    </row>
    <row r="20" spans="1:14">
      <c r="A20" s="26"/>
      <c r="B20" s="23">
        <v>624.28800000000001</v>
      </c>
      <c r="C20" s="23">
        <v>247.74100000000001</v>
      </c>
      <c r="D20" s="22">
        <v>1348.81</v>
      </c>
      <c r="E20" s="23">
        <v>1045.78</v>
      </c>
      <c r="F20" s="23"/>
      <c r="H20" s="22">
        <v>247.744</v>
      </c>
      <c r="I20" s="22">
        <v>1045.8499999999999</v>
      </c>
      <c r="J20" s="67">
        <v>1347.27</v>
      </c>
    </row>
    <row r="21" spans="1:14">
      <c r="A21" s="26"/>
      <c r="B21" s="23">
        <v>1.1854199999999999</v>
      </c>
      <c r="C21" s="23">
        <v>0.94900399999999996</v>
      </c>
      <c r="D21" s="22">
        <v>1.17144</v>
      </c>
      <c r="E21" s="23">
        <v>1.2574700000000001</v>
      </c>
      <c r="F21" s="23"/>
      <c r="H21" s="22">
        <v>0.99024900000000005</v>
      </c>
      <c r="I21" s="22">
        <v>1.39036</v>
      </c>
      <c r="J21" s="67">
        <v>0.76</v>
      </c>
    </row>
    <row r="22" spans="1:14">
      <c r="A22" s="26"/>
      <c r="J22" s="66"/>
    </row>
    <row r="23" spans="1:14">
      <c r="A23" s="26" t="s">
        <v>212</v>
      </c>
      <c r="B23" s="39">
        <f>SQRT(2*PI())*B19*B21</f>
        <v>873.67397105485702</v>
      </c>
      <c r="C23" s="39">
        <f>SQRT(2*PI())*C19*C21</f>
        <v>1689.4072924379352</v>
      </c>
      <c r="D23" s="39">
        <f>SQRT(2*PI())*D19*D21</f>
        <v>88.940722703786349</v>
      </c>
      <c r="E23" s="39">
        <f>SQRT(2*PI())*E19*E21</f>
        <v>378.37987121371532</v>
      </c>
      <c r="F23" s="39"/>
      <c r="H23" s="39">
        <f>SQRT(2*PI())*H19*H21</f>
        <v>869.89206232239133</v>
      </c>
      <c r="I23" s="39">
        <f>SQRT(2*PI())*I19*I21</f>
        <v>184.27096134816199</v>
      </c>
      <c r="J23" s="68">
        <f>SQRT(2*PI())*J19*J21</f>
        <v>16.191027918876866</v>
      </c>
    </row>
    <row r="24" spans="1:14">
      <c r="A24" s="26" t="s">
        <v>224</v>
      </c>
      <c r="D24" s="22">
        <v>10</v>
      </c>
      <c r="J24" s="66"/>
    </row>
    <row r="25" spans="1:14">
      <c r="A25" s="26" t="s">
        <v>207</v>
      </c>
      <c r="B25" s="25">
        <f>(B23/$L$2)*(1/B17)*100</f>
        <v>8.890787650528992</v>
      </c>
      <c r="C25" s="25">
        <f>(C23/$L$2)*(1/C17)*100</f>
        <v>9.2042313202701695</v>
      </c>
      <c r="D25" s="86">
        <f>D23/(D17*L2)*100</f>
        <v>1.5235544098986558</v>
      </c>
      <c r="E25" s="25">
        <f>(E23/$L$2)*(1/E17)*100</f>
        <v>5.4573307866809628</v>
      </c>
      <c r="F25" s="25"/>
      <c r="H25" s="25">
        <f>(H23/($L$2*H17*$N$2))*100</f>
        <v>9.7719299427580513</v>
      </c>
      <c r="I25" s="25">
        <f>(I23/($L$2*I17*$N$2))*100</f>
        <v>5.4800821266752715</v>
      </c>
      <c r="J25" s="69">
        <f>(J23/($L$2*J17*$N$2))*100</f>
        <v>0.57141890999904077</v>
      </c>
    </row>
    <row r="26" spans="1:14">
      <c r="A26" s="26" t="s">
        <v>224</v>
      </c>
      <c r="B26" s="61">
        <f>SQRT(((1/(B17*$L$2))^2*SQRT(B23)^2)+((B23/(B17^2*$L$2))^2*$D$18^2)+((B23/(B17*$L$2^2))^2*$L$4^2))*100</f>
        <v>1.0457869931762933</v>
      </c>
      <c r="C26" s="61">
        <f t="shared" ref="C26:E26" si="1">SQRT(((1/(C17*$L$2))^2*SQRT(C23)^2)+((C23/(C17^2*$L$2))^2*$D$18^2)+((C23/(C17*$L$2^2))^2*$L$4^2))*100</f>
        <v>0.59864504067079694</v>
      </c>
      <c r="D26" s="61">
        <f t="shared" si="1"/>
        <v>0.3310128292505648</v>
      </c>
      <c r="E26" s="61">
        <f t="shared" si="1"/>
        <v>0.91539169592478853</v>
      </c>
    </row>
    <row r="27" spans="1:14">
      <c r="A27" s="26" t="s">
        <v>206</v>
      </c>
    </row>
    <row r="28" spans="1:14">
      <c r="A28" s="26"/>
      <c r="H28" s="39"/>
      <c r="J28" s="39"/>
    </row>
    <row r="29" spans="1:14">
      <c r="N29" s="39"/>
    </row>
    <row r="30" spans="1:14">
      <c r="A30" s="26" t="s">
        <v>295</v>
      </c>
      <c r="B30">
        <f>B25/$C$25</f>
        <v>0.96594569836039523</v>
      </c>
      <c r="C30">
        <f t="shared" ref="C30:E30" si="2">C25/$C$25</f>
        <v>1</v>
      </c>
      <c r="D30">
        <f t="shared" si="2"/>
        <v>0.1655276097356857</v>
      </c>
      <c r="E30">
        <f t="shared" si="2"/>
        <v>0.59291543169525374</v>
      </c>
    </row>
    <row r="31" spans="1:14">
      <c r="A31" s="26" t="s">
        <v>224</v>
      </c>
      <c r="B31">
        <f>SQRT(((1/$C$25)^2*B26^2)+((B25/$C$25^2)^2*$C$26^2))</f>
        <v>0.12983288450114</v>
      </c>
      <c r="C31">
        <f t="shared" ref="C31:E31" si="3">SQRT(((1/$C$25)^2*C26^2)+((C25/$C$25^2)^2*$C$26^2))</f>
        <v>9.1980732133444876E-2</v>
      </c>
      <c r="D31">
        <f t="shared" si="3"/>
        <v>3.7539995888908655E-2</v>
      </c>
      <c r="E31">
        <f t="shared" si="3"/>
        <v>0.10666818217558967</v>
      </c>
    </row>
    <row r="39" spans="3:5">
      <c r="C39" s="22">
        <v>716.92600000000004</v>
      </c>
      <c r="D39" s="22">
        <v>266.39299999999997</v>
      </c>
      <c r="E39" s="22">
        <v>116.67</v>
      </c>
    </row>
    <row r="40" spans="3:5">
      <c r="C40" s="22">
        <v>247.68899999999999</v>
      </c>
      <c r="D40" s="22">
        <v>624.23299999999995</v>
      </c>
      <c r="E40" s="22">
        <v>1045.8399999999999</v>
      </c>
    </row>
    <row r="41" spans="3:5">
      <c r="C41" s="22">
        <v>0.99271200000000004</v>
      </c>
      <c r="D41" s="22">
        <v>1.2188099999999999</v>
      </c>
      <c r="E41" s="22">
        <v>1.43397</v>
      </c>
    </row>
    <row r="43" spans="3:5">
      <c r="C43">
        <f>SQRT(2*PI())*C39*C41</f>
        <v>1783.9699582502415</v>
      </c>
      <c r="D43">
        <f>SQRT(2*PI())*D39*D41</f>
        <v>813.85821528690985</v>
      </c>
      <c r="E43">
        <f>SQRT(2*PI())*E39*E41</f>
        <v>419.36211857929504</v>
      </c>
    </row>
    <row r="45" spans="3:5">
      <c r="D45">
        <f>D43/C43</f>
        <v>0.45620623347556849</v>
      </c>
      <c r="E45">
        <f>E43/D43</f>
        <v>0.51527663013324387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57EAE-683C-2C49-8A3A-5A156BF8F341}">
  <dimension ref="A1:K19"/>
  <sheetViews>
    <sheetView workbookViewId="0">
      <selection activeCell="V51" sqref="V51"/>
    </sheetView>
  </sheetViews>
  <sheetFormatPr baseColWidth="10" defaultRowHeight="18"/>
  <sheetData>
    <row r="1" spans="1:11">
      <c r="A1">
        <v>100.2</v>
      </c>
    </row>
    <row r="2" spans="1:11">
      <c r="A2">
        <v>242</v>
      </c>
      <c r="D2" s="23">
        <v>242.684</v>
      </c>
      <c r="E2" s="23">
        <v>242.26300000000001</v>
      </c>
      <c r="F2" s="23">
        <v>242.874</v>
      </c>
      <c r="G2" s="23">
        <v>242.84</v>
      </c>
      <c r="H2" s="61">
        <v>242.72200000000001</v>
      </c>
    </row>
    <row r="3" spans="1:11">
      <c r="A3">
        <v>247.58</v>
      </c>
      <c r="B3" s="22">
        <v>248.214</v>
      </c>
      <c r="C3" s="22">
        <v>248.12700000000001</v>
      </c>
      <c r="D3" s="23">
        <v>247.846</v>
      </c>
      <c r="E3" s="23">
        <v>248.00299999999999</v>
      </c>
      <c r="G3" s="23">
        <v>247.91800000000001</v>
      </c>
      <c r="I3" s="23">
        <v>247.93700000000001</v>
      </c>
      <c r="J3" s="23">
        <v>247.815</v>
      </c>
      <c r="K3" s="23">
        <v>247.518</v>
      </c>
    </row>
    <row r="4" spans="1:11">
      <c r="A4">
        <v>306.51</v>
      </c>
      <c r="C4" s="22">
        <v>306.904</v>
      </c>
      <c r="D4" s="23">
        <v>306.52</v>
      </c>
      <c r="E4" s="23">
        <v>305.59899999999999</v>
      </c>
      <c r="F4" s="23">
        <v>306.84199999999998</v>
      </c>
      <c r="G4" s="23">
        <v>306.55399999999997</v>
      </c>
      <c r="H4" s="23">
        <v>307.15199999999999</v>
      </c>
      <c r="I4" s="23">
        <v>306.68700000000001</v>
      </c>
      <c r="J4" s="23">
        <v>306.82799999999997</v>
      </c>
      <c r="K4" s="23">
        <v>306.70699999999999</v>
      </c>
    </row>
    <row r="5" spans="1:11">
      <c r="A5">
        <v>347</v>
      </c>
      <c r="D5" s="22">
        <v>346.69499999999999</v>
      </c>
      <c r="F5" s="23">
        <v>347.00799999999998</v>
      </c>
    </row>
    <row r="6" spans="1:11">
      <c r="A6">
        <v>386.4</v>
      </c>
      <c r="D6" s="22">
        <v>386.94400000000002</v>
      </c>
    </row>
    <row r="7" spans="1:11">
      <c r="A7">
        <v>624.1</v>
      </c>
      <c r="B7" s="22">
        <v>624.875</v>
      </c>
      <c r="C7" s="22">
        <v>624.33699999999999</v>
      </c>
      <c r="D7" s="22">
        <v>624.43700000000001</v>
      </c>
      <c r="E7" s="23">
        <v>624.26499999999999</v>
      </c>
      <c r="F7" s="61">
        <v>624.20000000000005</v>
      </c>
      <c r="G7" s="23">
        <v>624.75400000000002</v>
      </c>
      <c r="H7" s="23">
        <v>623.80200000000002</v>
      </c>
      <c r="I7" s="23">
        <v>624.673</v>
      </c>
      <c r="J7" s="23">
        <v>624.30200000000002</v>
      </c>
      <c r="K7" s="23">
        <v>623.46199999999999</v>
      </c>
    </row>
    <row r="8" spans="1:11">
      <c r="C8" s="22"/>
    </row>
    <row r="9" spans="1:11">
      <c r="A9">
        <v>1045.93</v>
      </c>
      <c r="D9" s="22">
        <v>1046.3</v>
      </c>
      <c r="E9" s="23">
        <v>1045.26</v>
      </c>
      <c r="F9" s="23">
        <v>1046.04</v>
      </c>
      <c r="G9" s="23">
        <v>1046.0899999999999</v>
      </c>
      <c r="H9" s="23">
        <v>1045.5999999999999</v>
      </c>
      <c r="I9" s="23">
        <v>1046.5</v>
      </c>
      <c r="J9" s="23">
        <v>1046.44</v>
      </c>
    </row>
    <row r="10" spans="1:11">
      <c r="F10" s="23">
        <v>1455.29</v>
      </c>
    </row>
    <row r="13" spans="1:11">
      <c r="A13" s="62">
        <v>100.2</v>
      </c>
      <c r="B13" s="64">
        <v>100.71599999999999</v>
      </c>
    </row>
    <row r="14" spans="1:11">
      <c r="A14" s="62">
        <v>242</v>
      </c>
      <c r="B14" s="64">
        <v>242.71799999999999</v>
      </c>
    </row>
    <row r="15" spans="1:11">
      <c r="A15" s="62">
        <v>247.58</v>
      </c>
      <c r="B15" s="64">
        <v>247.91</v>
      </c>
    </row>
    <row r="16" spans="1:11">
      <c r="A16" s="62">
        <v>306.51</v>
      </c>
      <c r="B16" s="64">
        <v>307.02499999999998</v>
      </c>
    </row>
    <row r="17" spans="1:2">
      <c r="A17" s="62">
        <v>624.1</v>
      </c>
      <c r="B17" s="64">
        <v>624.62</v>
      </c>
    </row>
    <row r="18" spans="1:2">
      <c r="A18" s="62">
        <v>1045.93</v>
      </c>
      <c r="B18" s="64">
        <v>1046.33</v>
      </c>
    </row>
    <row r="19" spans="1:2">
      <c r="A19" s="62">
        <v>1454.55</v>
      </c>
      <c r="B19" s="64">
        <v>1455.16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5CB77-69EC-9341-BB56-CB609F66E1D8}">
  <dimension ref="A1:Q25"/>
  <sheetViews>
    <sheetView workbookViewId="0">
      <selection activeCell="C19" sqref="C19"/>
    </sheetView>
  </sheetViews>
  <sheetFormatPr baseColWidth="10" defaultRowHeight="18"/>
  <cols>
    <col min="2" max="2" width="14.875" bestFit="1" customWidth="1"/>
    <col min="3" max="3" width="13.875" bestFit="1" customWidth="1"/>
    <col min="4" max="4" width="14.875" bestFit="1" customWidth="1"/>
    <col min="5" max="8" width="13.875" bestFit="1" customWidth="1"/>
    <col min="9" max="9" width="14.875" bestFit="1" customWidth="1"/>
    <col min="10" max="10" width="13.875" bestFit="1" customWidth="1"/>
    <col min="11" max="11" width="14.875" bestFit="1" customWidth="1"/>
  </cols>
  <sheetData>
    <row r="1" spans="1:17">
      <c r="A1" t="s">
        <v>195</v>
      </c>
      <c r="B1" s="23">
        <v>1797.44</v>
      </c>
      <c r="C1" s="23">
        <v>321.18700000000001</v>
      </c>
      <c r="D1" s="23">
        <v>933.28599999999994</v>
      </c>
      <c r="E1" s="23">
        <v>61.035299999999999</v>
      </c>
      <c r="F1" s="23">
        <v>81.859700000000004</v>
      </c>
      <c r="G1" s="23">
        <v>218.34</v>
      </c>
      <c r="H1" s="23">
        <v>58.0242</v>
      </c>
      <c r="I1" s="23">
        <v>196.58799999999999</v>
      </c>
      <c r="J1" s="23">
        <v>165.56200000000001</v>
      </c>
      <c r="K1" s="23">
        <v>195.53800000000001</v>
      </c>
      <c r="P1" t="s">
        <v>189</v>
      </c>
      <c r="Q1" s="23">
        <v>1606</v>
      </c>
    </row>
    <row r="2" spans="1:17">
      <c r="B2" s="23">
        <v>587.59</v>
      </c>
      <c r="C2" s="23">
        <v>1335.42</v>
      </c>
      <c r="D2" s="23">
        <v>1941</v>
      </c>
      <c r="E2" s="23">
        <v>2347.71</v>
      </c>
      <c r="F2" s="23">
        <v>2548.0500000000002</v>
      </c>
      <c r="G2" s="23">
        <v>4585.25</v>
      </c>
      <c r="H2" s="23">
        <v>5124.21</v>
      </c>
      <c r="I2" s="23">
        <v>5711.91</v>
      </c>
      <c r="J2" s="23">
        <v>6612.65</v>
      </c>
      <c r="K2" s="23">
        <v>8413.08</v>
      </c>
      <c r="P2" t="s">
        <v>190</v>
      </c>
      <c r="Q2" s="23">
        <v>4325</v>
      </c>
    </row>
    <row r="3" spans="1:17">
      <c r="B3" s="23">
        <v>7.5418399999999997</v>
      </c>
      <c r="C3" s="23">
        <v>7.4293899999999997</v>
      </c>
      <c r="D3" s="23">
        <v>7.7517100000000001</v>
      </c>
      <c r="E3" s="23">
        <v>7.9572099999999999</v>
      </c>
      <c r="F3" s="23">
        <v>7.8514200000000001</v>
      </c>
      <c r="G3" s="23">
        <v>8.6259300000000003</v>
      </c>
      <c r="H3" s="23">
        <v>8.8938600000000001</v>
      </c>
      <c r="I3" s="23">
        <v>9.2524099999999994</v>
      </c>
      <c r="J3" s="23">
        <v>9.7078500000000005</v>
      </c>
      <c r="K3" s="23">
        <v>10.026</v>
      </c>
      <c r="P3" t="s">
        <v>191</v>
      </c>
      <c r="Q3">
        <v>236390400</v>
      </c>
    </row>
    <row r="4" spans="1:17">
      <c r="B4" s="39"/>
      <c r="C4" s="39"/>
      <c r="D4" s="39"/>
      <c r="E4" s="39"/>
      <c r="F4" s="39"/>
      <c r="G4" s="39"/>
      <c r="H4" s="39"/>
      <c r="I4" s="39"/>
      <c r="J4" s="39"/>
      <c r="K4" s="39"/>
      <c r="P4" t="s">
        <v>192</v>
      </c>
      <c r="Q4">
        <v>426902832</v>
      </c>
    </row>
    <row r="5" spans="1:17">
      <c r="A5" t="s">
        <v>196</v>
      </c>
      <c r="B5" s="36">
        <v>28.58</v>
      </c>
      <c r="C5" s="36">
        <v>7.5830000000000002</v>
      </c>
      <c r="D5" s="36">
        <v>26.5</v>
      </c>
      <c r="E5" s="36">
        <v>2.234</v>
      </c>
      <c r="F5" s="36">
        <v>2.8210000000000002</v>
      </c>
      <c r="G5" s="36">
        <v>12.942</v>
      </c>
      <c r="H5" s="36">
        <v>4.2450000000000001</v>
      </c>
      <c r="I5" s="36">
        <v>14.605</v>
      </c>
      <c r="J5" s="36">
        <v>13.644</v>
      </c>
      <c r="K5" s="36">
        <v>21.004999999999999</v>
      </c>
    </row>
    <row r="6" spans="1:17">
      <c r="B6" s="39"/>
      <c r="C6" s="39"/>
      <c r="D6" s="39"/>
      <c r="E6" s="39"/>
      <c r="F6" s="39"/>
      <c r="G6" s="39"/>
      <c r="H6" s="39"/>
      <c r="I6" s="39"/>
      <c r="J6" s="39"/>
      <c r="K6" s="39"/>
      <c r="P6" t="s">
        <v>194</v>
      </c>
      <c r="Q6">
        <f>Q2*EXP(-LN(2)/Q4*Q3)</f>
        <v>2946.4272214137341</v>
      </c>
    </row>
    <row r="7" spans="1:17">
      <c r="A7" t="s">
        <v>197</v>
      </c>
      <c r="B7" s="39">
        <f>(B5/100)*$Q$8</f>
        <v>1352394.7732073527</v>
      </c>
      <c r="C7" s="39">
        <f t="shared" ref="C7:K7" si="0">(C5/100)*$Q$8</f>
        <v>358824.68737688439</v>
      </c>
      <c r="D7" s="39">
        <f t="shared" si="0"/>
        <v>1253969.9611614712</v>
      </c>
      <c r="E7" s="39">
        <f t="shared" si="0"/>
        <v>105712.0337069708</v>
      </c>
      <c r="F7" s="39">
        <f t="shared" si="0"/>
        <v>133488.65133722682</v>
      </c>
      <c r="G7" s="39">
        <f t="shared" si="0"/>
        <v>612410.53725855704</v>
      </c>
      <c r="H7" s="39">
        <f t="shared" si="0"/>
        <v>200871.79189171491</v>
      </c>
      <c r="I7" s="39">
        <f t="shared" si="0"/>
        <v>691103.06727408629</v>
      </c>
      <c r="J7" s="39">
        <f t="shared" si="0"/>
        <v>645628.91132404201</v>
      </c>
      <c r="K7" s="39">
        <f t="shared" si="0"/>
        <v>993948.64279987547</v>
      </c>
    </row>
    <row r="8" spans="1:17">
      <c r="A8" t="s">
        <v>198</v>
      </c>
      <c r="B8" s="39">
        <f t="shared" ref="B8:K8" si="1">SQRT(2*PI())*B1*B3</f>
        <v>33979.86514730745</v>
      </c>
      <c r="C8" s="39">
        <f t="shared" si="1"/>
        <v>5981.3752594206871</v>
      </c>
      <c r="D8" s="39">
        <f t="shared" si="1"/>
        <v>18134.358714198643</v>
      </c>
      <c r="E8" s="39">
        <f t="shared" si="1"/>
        <v>1217.3959075591022</v>
      </c>
      <c r="F8" s="39">
        <f t="shared" si="1"/>
        <v>1611.0473052073421</v>
      </c>
      <c r="G8" s="39">
        <f t="shared" si="1"/>
        <v>4720.947487202553</v>
      </c>
      <c r="H8" s="39">
        <f t="shared" si="1"/>
        <v>1293.5683600462687</v>
      </c>
      <c r="I8" s="39">
        <f t="shared" si="1"/>
        <v>4559.3381961163213</v>
      </c>
      <c r="J8" s="39">
        <f t="shared" si="1"/>
        <v>4028.7809556879147</v>
      </c>
      <c r="K8" s="39">
        <f t="shared" si="1"/>
        <v>4914.1544637166498</v>
      </c>
      <c r="P8" t="s">
        <v>193</v>
      </c>
      <c r="Q8" s="61">
        <f>Q1*Q6</f>
        <v>4731962.1175904572</v>
      </c>
    </row>
    <row r="9" spans="1:17">
      <c r="B9" s="39"/>
      <c r="C9" s="39"/>
      <c r="D9" s="39"/>
      <c r="E9" s="39"/>
      <c r="F9" s="39"/>
      <c r="G9" s="39"/>
      <c r="H9" s="39"/>
      <c r="I9" s="39"/>
      <c r="J9" s="39"/>
      <c r="K9" s="39"/>
    </row>
    <row r="10" spans="1:17">
      <c r="B10" s="39"/>
      <c r="C10" s="39"/>
      <c r="D10" s="39"/>
      <c r="E10" s="39"/>
      <c r="F10" s="39"/>
      <c r="G10" s="39"/>
      <c r="H10" s="39"/>
      <c r="I10" s="39"/>
      <c r="J10" s="39"/>
      <c r="K10" s="39"/>
    </row>
    <row r="11" spans="1:17">
      <c r="A11" t="s">
        <v>13</v>
      </c>
      <c r="B11" s="62">
        <f>(B8/B7)*100</f>
        <v>2.5125699847774823</v>
      </c>
      <c r="C11" s="62">
        <f t="shared" ref="C11:K11" si="2">(C8/C7)*100</f>
        <v>1.6669352666747448</v>
      </c>
      <c r="D11" s="62">
        <f t="shared" si="2"/>
        <v>1.4461557514026859</v>
      </c>
      <c r="E11" s="62">
        <f t="shared" si="2"/>
        <v>1.1516152559638302</v>
      </c>
      <c r="F11" s="62">
        <f t="shared" si="2"/>
        <v>1.2068796029240123</v>
      </c>
      <c r="G11" s="62">
        <f t="shared" si="2"/>
        <v>0.77087953259847164</v>
      </c>
      <c r="H11" s="62">
        <f t="shared" si="2"/>
        <v>0.64397710990879198</v>
      </c>
      <c r="I11" s="62">
        <f t="shared" si="2"/>
        <v>0.65971899301499148</v>
      </c>
      <c r="J11" s="62">
        <f t="shared" si="2"/>
        <v>0.62400875875056105</v>
      </c>
      <c r="K11" s="62">
        <f t="shared" si="2"/>
        <v>0.4944072814339644</v>
      </c>
    </row>
    <row r="13" spans="1:17">
      <c r="A13" t="s">
        <v>199</v>
      </c>
      <c r="B13">
        <v>121.7817</v>
      </c>
      <c r="C13">
        <v>244.69749999999999</v>
      </c>
      <c r="D13">
        <v>344.27850000000001</v>
      </c>
      <c r="E13">
        <v>411.11630000000002</v>
      </c>
      <c r="F13">
        <v>443.96499999999997</v>
      </c>
      <c r="G13">
        <v>778.904</v>
      </c>
      <c r="H13">
        <v>867.37800000000004</v>
      </c>
      <c r="I13">
        <v>964.07899999999995</v>
      </c>
      <c r="J13">
        <v>1112.0740000000001</v>
      </c>
      <c r="K13">
        <v>1408.0060000000001</v>
      </c>
    </row>
    <row r="16" spans="1:17">
      <c r="B16">
        <f>0.1*B11</f>
        <v>0.25125699847774824</v>
      </c>
      <c r="C16">
        <f t="shared" ref="C16:K16" si="3">0.1*C11</f>
        <v>0.1666935266674745</v>
      </c>
      <c r="D16">
        <f t="shared" si="3"/>
        <v>0.1446155751402686</v>
      </c>
      <c r="E16">
        <f t="shared" si="3"/>
        <v>0.11516152559638303</v>
      </c>
      <c r="F16">
        <f t="shared" si="3"/>
        <v>0.12068796029240124</v>
      </c>
      <c r="G16">
        <f t="shared" si="3"/>
        <v>7.7087953259847172E-2</v>
      </c>
      <c r="H16">
        <f t="shared" si="3"/>
        <v>6.4397710990879195E-2</v>
      </c>
      <c r="I16">
        <f t="shared" si="3"/>
        <v>6.5971899301499146E-2</v>
      </c>
      <c r="J16">
        <f t="shared" si="3"/>
        <v>6.2400875875056105E-2</v>
      </c>
      <c r="K16">
        <f t="shared" si="3"/>
        <v>4.9440728143396444E-2</v>
      </c>
    </row>
    <row r="21" spans="2:4">
      <c r="B21" s="22"/>
      <c r="C21" s="23"/>
      <c r="D21" s="22"/>
    </row>
    <row r="22" spans="2:4">
      <c r="B22" s="22"/>
      <c r="C22" s="23"/>
      <c r="D22" s="22"/>
    </row>
    <row r="23" spans="2:4">
      <c r="B23" s="22"/>
      <c r="C23" s="23"/>
      <c r="D23" s="22"/>
    </row>
    <row r="25" spans="2:4">
      <c r="C25" s="39"/>
      <c r="D25" s="39"/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6971B-B785-D444-906E-B14BE718062E}">
  <dimension ref="A1:H21"/>
  <sheetViews>
    <sheetView zoomScale="140" zoomScaleNormal="140" workbookViewId="0">
      <selection activeCell="L31" sqref="L31"/>
    </sheetView>
  </sheetViews>
  <sheetFormatPr baseColWidth="10" defaultRowHeight="16"/>
  <cols>
    <col min="1" max="1" width="10.625" style="1"/>
    <col min="2" max="2" width="14" style="1" bestFit="1" customWidth="1"/>
    <col min="3" max="3" width="10.5" style="1" customWidth="1"/>
    <col min="4" max="16384" width="10.625" style="1"/>
  </cols>
  <sheetData>
    <row r="1" spans="1:8" ht="24">
      <c r="A1" s="14" t="s">
        <v>35</v>
      </c>
    </row>
    <row r="3" spans="1:8">
      <c r="E3" s="13" t="s">
        <v>34</v>
      </c>
      <c r="F3" s="13" t="s">
        <v>33</v>
      </c>
      <c r="G3" s="13" t="s">
        <v>32</v>
      </c>
      <c r="H3" s="13"/>
    </row>
    <row r="4" spans="1:8">
      <c r="A4" s="13"/>
      <c r="G4" s="11"/>
    </row>
    <row r="5" spans="1:8">
      <c r="G5" s="11"/>
    </row>
    <row r="6" spans="1:8">
      <c r="E6" s="1">
        <v>121.7817</v>
      </c>
      <c r="F6" s="1">
        <v>2.9999999999999997E-4</v>
      </c>
      <c r="G6" s="11">
        <v>537.65</v>
      </c>
    </row>
    <row r="7" spans="1:8">
      <c r="E7" s="1">
        <v>244.69739999999999</v>
      </c>
      <c r="F7" s="1">
        <v>8.0000000000000004E-4</v>
      </c>
      <c r="G7" s="11">
        <v>1232</v>
      </c>
      <c r="H7" s="11"/>
    </row>
    <row r="8" spans="1:8">
      <c r="E8" s="1">
        <v>344.27850000000001</v>
      </c>
      <c r="F8" s="1">
        <v>1.1999999999999999E-3</v>
      </c>
      <c r="G8" s="11">
        <v>1794</v>
      </c>
      <c r="H8" s="11"/>
    </row>
    <row r="9" spans="1:8">
      <c r="E9" s="1">
        <v>411.11649999999997</v>
      </c>
      <c r="F9" s="1">
        <v>1.1999999999999999E-3</v>
      </c>
      <c r="G9" s="11">
        <v>2172</v>
      </c>
    </row>
    <row r="10" spans="1:8">
      <c r="E10" s="1">
        <v>443.9606</v>
      </c>
      <c r="F10" s="1">
        <v>1.6000000000000001E-3</v>
      </c>
      <c r="G10" s="11">
        <v>2358</v>
      </c>
    </row>
    <row r="11" spans="1:8">
      <c r="E11" s="1">
        <v>778.90449999999998</v>
      </c>
      <c r="F11" s="1">
        <v>2.3999999999999998E-3</v>
      </c>
      <c r="G11" s="11">
        <v>4249.8</v>
      </c>
      <c r="H11" s="11"/>
    </row>
    <row r="12" spans="1:8">
      <c r="E12" s="1">
        <v>867.38</v>
      </c>
      <c r="F12" s="1">
        <v>3.0000000000000001E-3</v>
      </c>
      <c r="G12" s="11">
        <v>4749</v>
      </c>
      <c r="H12" s="11"/>
    </row>
    <row r="13" spans="1:8">
      <c r="E13" s="1">
        <v>964.05700000000002</v>
      </c>
      <c r="F13" s="1">
        <v>5.0000000000000001E-3</v>
      </c>
      <c r="G13" s="11">
        <v>5296</v>
      </c>
      <c r="H13" s="11"/>
    </row>
    <row r="14" spans="1:8">
      <c r="E14" s="1">
        <v>1085.837</v>
      </c>
      <c r="F14" s="1">
        <v>0.01</v>
      </c>
      <c r="G14" s="11">
        <v>5983.6</v>
      </c>
    </row>
    <row r="15" spans="1:8">
      <c r="E15" s="1">
        <v>1089.7370000000001</v>
      </c>
      <c r="F15" s="1">
        <v>5.0000000000000001E-3</v>
      </c>
      <c r="G15" s="11">
        <v>6005.5</v>
      </c>
    </row>
    <row r="16" spans="1:8">
      <c r="E16" s="1">
        <v>1112.076</v>
      </c>
      <c r="F16" s="1">
        <v>3.0000000000000001E-3</v>
      </c>
      <c r="G16" s="11">
        <v>6132.08</v>
      </c>
      <c r="H16" s="11"/>
    </row>
    <row r="17" spans="1:8">
      <c r="E17" s="1">
        <v>1408.0129999999999</v>
      </c>
      <c r="F17" s="1">
        <v>3.0000000000000001E-3</v>
      </c>
      <c r="G17" s="11">
        <v>7804.35</v>
      </c>
      <c r="H17" s="11"/>
    </row>
    <row r="20" spans="1:8" ht="21">
      <c r="A20" s="12" t="s">
        <v>31</v>
      </c>
      <c r="B20" s="11">
        <v>0.17701043557000001</v>
      </c>
    </row>
    <row r="21" spans="1:8" ht="21">
      <c r="A21" s="12" t="s">
        <v>30</v>
      </c>
      <c r="B21" s="11">
        <v>26.646713013999999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A7681-1608-124E-8520-29226F63BDFF}">
  <dimension ref="A1:K10"/>
  <sheetViews>
    <sheetView zoomScaleNormal="100" workbookViewId="0">
      <selection activeCell="C18" sqref="C18"/>
    </sheetView>
  </sheetViews>
  <sheetFormatPr baseColWidth="10" defaultRowHeight="16"/>
  <cols>
    <col min="1" max="16384" width="10.625" style="1"/>
  </cols>
  <sheetData>
    <row r="1" spans="1:11" ht="18">
      <c r="A1" s="3" t="s">
        <v>15</v>
      </c>
      <c r="B1" s="3"/>
      <c r="C1" s="3" t="s">
        <v>14</v>
      </c>
      <c r="D1" s="3" t="s">
        <v>13</v>
      </c>
      <c r="E1" s="3" t="s">
        <v>12</v>
      </c>
      <c r="F1" s="3" t="s">
        <v>11</v>
      </c>
      <c r="G1" s="3" t="s">
        <v>10</v>
      </c>
      <c r="H1" s="3" t="s">
        <v>9</v>
      </c>
      <c r="I1" s="3" t="s">
        <v>8</v>
      </c>
      <c r="J1" s="3"/>
      <c r="K1" s="3" t="s">
        <v>7</v>
      </c>
    </row>
    <row r="2" spans="1:11" ht="18">
      <c r="A2" s="3"/>
      <c r="B2" s="3" t="s">
        <v>5</v>
      </c>
      <c r="C2" s="3">
        <v>4544</v>
      </c>
      <c r="D2" s="3">
        <f>C3/C2</f>
        <v>0.64942781690140849</v>
      </c>
      <c r="E2" s="3">
        <v>2080</v>
      </c>
      <c r="F2" s="3">
        <v>8264</v>
      </c>
      <c r="G2" s="3">
        <f>F2/E2</f>
        <v>3.9730769230769232</v>
      </c>
      <c r="H2" s="3">
        <v>58</v>
      </c>
      <c r="I2" s="3">
        <f>F2/H2</f>
        <v>142.48275862068965</v>
      </c>
      <c r="J2" s="3"/>
      <c r="K2" s="3">
        <f>I2/I8</f>
        <v>4.2061330958137164</v>
      </c>
    </row>
    <row r="3" spans="1:11" ht="18">
      <c r="A3" s="3"/>
      <c r="B3" s="3" t="s">
        <v>4</v>
      </c>
      <c r="C3" s="3">
        <v>2951</v>
      </c>
      <c r="D3" s="3"/>
      <c r="E3" s="3"/>
      <c r="F3" s="3"/>
      <c r="G3" s="3"/>
      <c r="H3" s="3"/>
      <c r="I3" s="3"/>
      <c r="J3" s="3"/>
      <c r="K3" s="3"/>
    </row>
    <row r="4" spans="1:11" ht="18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t="18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8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18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ht="18">
      <c r="A8" s="3" t="s">
        <v>6</v>
      </c>
      <c r="B8" s="3" t="s">
        <v>5</v>
      </c>
      <c r="C8" s="3">
        <v>47653</v>
      </c>
      <c r="D8" s="3">
        <f>C9/C8</f>
        <v>4.4614190082471201E-2</v>
      </c>
      <c r="E8" s="3">
        <v>600</v>
      </c>
      <c r="F8" s="3">
        <v>271</v>
      </c>
      <c r="G8" s="3">
        <f>F8/E8</f>
        <v>0.45166666666666666</v>
      </c>
      <c r="H8" s="3">
        <v>8</v>
      </c>
      <c r="I8" s="3">
        <f>F8/H8</f>
        <v>33.875</v>
      </c>
      <c r="J8" s="3"/>
      <c r="K8" s="3"/>
    </row>
    <row r="9" spans="1:11" ht="18">
      <c r="A9" s="3"/>
      <c r="B9" s="3" t="s">
        <v>4</v>
      </c>
      <c r="C9" s="3">
        <v>2126</v>
      </c>
      <c r="D9" s="3"/>
      <c r="E9" s="3"/>
      <c r="F9" s="3"/>
      <c r="G9" s="3"/>
      <c r="H9" s="3"/>
      <c r="I9" s="3"/>
      <c r="J9" s="3"/>
      <c r="K9" s="3"/>
    </row>
    <row r="10" spans="1:11" ht="18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0E834-25BF-554B-A055-DB729B0B172B}">
  <dimension ref="A1:E25"/>
  <sheetViews>
    <sheetView workbookViewId="0">
      <selection activeCell="O53" sqref="O53"/>
    </sheetView>
  </sheetViews>
  <sheetFormatPr baseColWidth="10" defaultRowHeight="16"/>
  <cols>
    <col min="1" max="16384" width="10.625" style="1"/>
  </cols>
  <sheetData>
    <row r="1" spans="1:5">
      <c r="A1" s="1" t="s">
        <v>160</v>
      </c>
      <c r="B1" s="1" t="s">
        <v>159</v>
      </c>
    </row>
    <row r="2" spans="1:5">
      <c r="E2" s="1">
        <f>(C7+C13+C19+C25)/4</f>
        <v>0.46564823290546487</v>
      </c>
    </row>
    <row r="3" spans="1:5" ht="18">
      <c r="A3" s="6">
        <v>5282.23</v>
      </c>
      <c r="B3" s="6">
        <v>2515.7600000000002</v>
      </c>
    </row>
    <row r="4" spans="1:5" ht="18">
      <c r="A4" s="6">
        <v>314.45100000000002</v>
      </c>
      <c r="B4" s="6">
        <v>314.43700000000001</v>
      </c>
    </row>
    <row r="5" spans="1:5" ht="18">
      <c r="A5" s="6">
        <v>1.05945</v>
      </c>
      <c r="B5" s="6">
        <v>1.0306599999999999</v>
      </c>
    </row>
    <row r="7" spans="1:5">
      <c r="A7" s="1">
        <f>SQRT(2*PI())*A3*A5</f>
        <v>14027.739972481248</v>
      </c>
      <c r="B7" s="1">
        <f>SQRT(2*PI())*B3*B5</f>
        <v>6499.4194122290583</v>
      </c>
      <c r="C7" s="1">
        <f>B7/A7</f>
        <v>0.46332619687698923</v>
      </c>
    </row>
    <row r="9" spans="1:5" ht="18">
      <c r="A9" s="6">
        <v>2910.99</v>
      </c>
      <c r="B9" s="6">
        <v>1368.57</v>
      </c>
    </row>
    <row r="10" spans="1:5" ht="18">
      <c r="A10" s="6">
        <v>353.26799999999997</v>
      </c>
      <c r="B10" s="6">
        <v>353.23899999999998</v>
      </c>
    </row>
    <row r="11" spans="1:5" ht="18">
      <c r="A11" s="6">
        <v>1.0691900000000001</v>
      </c>
      <c r="B11" s="6">
        <v>0.89498200000000006</v>
      </c>
    </row>
    <row r="13" spans="1:5">
      <c r="A13" s="1">
        <f>SQRT(2*PI())*A9*A11</f>
        <v>7801.6333464785157</v>
      </c>
      <c r="B13" s="1">
        <f>SQRT(2*PI())*B9*B11</f>
        <v>3070.2324018088739</v>
      </c>
      <c r="C13" s="1">
        <f>B13/A13</f>
        <v>0.39353713068234725</v>
      </c>
    </row>
    <row r="15" spans="1:5" ht="18">
      <c r="A15" s="6">
        <v>907.93399999999997</v>
      </c>
      <c r="B15" s="6">
        <v>430.28500000000003</v>
      </c>
    </row>
    <row r="16" spans="1:5" ht="18">
      <c r="A16" s="6" t="s">
        <v>158</v>
      </c>
      <c r="B16" s="6">
        <v>500.28899999999999</v>
      </c>
    </row>
    <row r="17" spans="1:3" ht="18">
      <c r="A17" s="6">
        <v>1.1432599999999999</v>
      </c>
      <c r="B17" s="6">
        <v>1.21637</v>
      </c>
    </row>
    <row r="19" spans="1:3">
      <c r="A19" s="1">
        <f>SQRT(2*PI())*A15*A17</f>
        <v>2601.8917418216874</v>
      </c>
      <c r="B19" s="1">
        <f>SQRT(2*PI())*B15*B17</f>
        <v>1311.933558216359</v>
      </c>
      <c r="C19" s="1">
        <f>B19/A19</f>
        <v>0.50422296098215924</v>
      </c>
    </row>
    <row r="21" spans="1:3" ht="18">
      <c r="A21" s="6">
        <v>2185.8200000000002</v>
      </c>
      <c r="B21" s="6">
        <v>1071.8</v>
      </c>
    </row>
    <row r="22" spans="1:3" ht="18">
      <c r="A22" s="6">
        <v>115.03100000000001</v>
      </c>
      <c r="B22" s="6">
        <v>115.06399999999999</v>
      </c>
    </row>
    <row r="23" spans="1:3" ht="18">
      <c r="A23" s="6">
        <v>0.97028899999999996</v>
      </c>
      <c r="B23" s="6">
        <v>0.99238099999999996</v>
      </c>
    </row>
    <row r="25" spans="1:3">
      <c r="A25" s="1">
        <f>SQRT(2*PI())*A21*A23</f>
        <v>5316.250510840523</v>
      </c>
      <c r="B25" s="1">
        <f>SQRT(2*PI())*B21*B23</f>
        <v>2666.1349474658991</v>
      </c>
      <c r="C25" s="1">
        <f>B25/A25</f>
        <v>0.50150664308036363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28FD6-65BF-AF44-8105-5474A2B6834F}">
  <dimension ref="A1:H24"/>
  <sheetViews>
    <sheetView workbookViewId="0">
      <selection activeCell="D18" sqref="D18"/>
    </sheetView>
  </sheetViews>
  <sheetFormatPr baseColWidth="10" defaultRowHeight="18"/>
  <sheetData>
    <row r="1" spans="1:8">
      <c r="A1" s="61">
        <v>0.152175</v>
      </c>
      <c r="E1" s="61">
        <f>A2/A1</f>
        <v>0.97775587317233448</v>
      </c>
      <c r="H1" t="s">
        <v>286</v>
      </c>
    </row>
    <row r="2" spans="1:8">
      <c r="A2" s="61">
        <v>0.14879000000000001</v>
      </c>
      <c r="E2" s="61">
        <f>A3/A1</f>
        <v>0.68205027106949234</v>
      </c>
      <c r="H2" t="s">
        <v>287</v>
      </c>
    </row>
    <row r="3" spans="1:8">
      <c r="A3" s="61">
        <v>0.10379099999999999</v>
      </c>
      <c r="E3" s="61">
        <f>A4/A1</f>
        <v>0.44594381468703798</v>
      </c>
      <c r="H3" t="s">
        <v>288</v>
      </c>
    </row>
    <row r="4" spans="1:8">
      <c r="A4" s="61">
        <v>6.7861500000000005E-2</v>
      </c>
      <c r="E4" s="61">
        <f>A3/A2</f>
        <v>0.69756704079575238</v>
      </c>
      <c r="H4" t="s">
        <v>289</v>
      </c>
    </row>
    <row r="5" spans="1:8">
      <c r="E5" s="61">
        <f>A4/A2</f>
        <v>0.45608911889239873</v>
      </c>
      <c r="H5" t="s">
        <v>290</v>
      </c>
    </row>
    <row r="6" spans="1:8">
      <c r="E6" s="61">
        <f>A4/A3</f>
        <v>0.65382836662138344</v>
      </c>
      <c r="H6" t="s">
        <v>291</v>
      </c>
    </row>
    <row r="8" spans="1:8">
      <c r="A8">
        <v>128539</v>
      </c>
      <c r="B8">
        <f>SQRT(A8)</f>
        <v>358.52336046623236</v>
      </c>
      <c r="E8" s="61">
        <f>A9/A8</f>
        <v>1.009156753981282</v>
      </c>
      <c r="F8">
        <f>SQRT((1/A8^2)*(B9^2+(A9*B8/A8)^2))</f>
        <v>3.9716298668254048E-3</v>
      </c>
    </row>
    <row r="9" spans="1:8">
      <c r="A9">
        <v>129716</v>
      </c>
      <c r="B9">
        <f t="shared" ref="B9:B11" si="0">SQRT(A9)</f>
        <v>360.16107507613867</v>
      </c>
      <c r="E9" s="61">
        <f>A10/A8</f>
        <v>0.73422074234279089</v>
      </c>
      <c r="F9">
        <f>SQRT((1/A8^2)*(B10^2+(A10*B8/A8)^2))</f>
        <v>3.1473718377114761E-3</v>
      </c>
    </row>
    <row r="10" spans="1:8">
      <c r="A10">
        <v>94376</v>
      </c>
      <c r="B10">
        <f t="shared" si="0"/>
        <v>307.20677075871879</v>
      </c>
      <c r="E10" s="61">
        <f>A11/A8</f>
        <v>0.47407401644637037</v>
      </c>
      <c r="F10">
        <f>SQRT((1/A8^2)*(B11^2+(A11*B8/A8)^2))</f>
        <v>2.331660220089122E-3</v>
      </c>
    </row>
    <row r="11" spans="1:8">
      <c r="A11">
        <v>60937</v>
      </c>
      <c r="B11">
        <f t="shared" si="0"/>
        <v>246.85420798519922</v>
      </c>
      <c r="E11" s="61">
        <f>A10/A9</f>
        <v>0.72755866662555124</v>
      </c>
      <c r="F11">
        <f>SQRT((1/A9^2)*(B10^2+(A10*B9/A9)^2))</f>
        <v>3.1128173430336648E-3</v>
      </c>
    </row>
    <row r="12" spans="1:8">
      <c r="E12" s="61">
        <f>A11/A9</f>
        <v>0.46977242591507601</v>
      </c>
      <c r="F12">
        <f>SQRT((1/A9^2)*(B11^2+(A11*B9/A9)^2))</f>
        <v>2.3071298301507942E-3</v>
      </c>
    </row>
    <row r="13" spans="1:8">
      <c r="E13" s="61">
        <f>A11/A10</f>
        <v>0.64568322454861404</v>
      </c>
      <c r="F13">
        <f>SQRT((1/A10^2)*(B11^2+(A11*B10/A10)^2))</f>
        <v>3.3554601810698416E-3</v>
      </c>
    </row>
    <row r="19" spans="1:5">
      <c r="A19">
        <v>20157</v>
      </c>
      <c r="E19" s="61">
        <f>A20/A19</f>
        <v>0.91357840948553848</v>
      </c>
    </row>
    <row r="20" spans="1:5">
      <c r="A20">
        <v>18415</v>
      </c>
      <c r="E20" s="61">
        <f>A21/A19</f>
        <v>0.51093912784640572</v>
      </c>
    </row>
    <row r="21" spans="1:5">
      <c r="A21">
        <v>10299</v>
      </c>
      <c r="E21" s="61">
        <f>A22/A19</f>
        <v>0.27687651932331198</v>
      </c>
    </row>
    <row r="22" spans="1:5">
      <c r="A22">
        <v>5581</v>
      </c>
      <c r="E22" s="61">
        <f>A21/A20</f>
        <v>0.55927233233776807</v>
      </c>
    </row>
    <row r="23" spans="1:5">
      <c r="E23" s="61">
        <f>A22/A20</f>
        <v>0.30306815096388812</v>
      </c>
    </row>
    <row r="24" spans="1:5">
      <c r="E24" s="61">
        <f>A22/A21</f>
        <v>0.54189727157976497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AEB1E-CF2C-6A4E-B6C2-6EA04F34FC3D}">
  <dimension ref="A1:K28"/>
  <sheetViews>
    <sheetView workbookViewId="0">
      <selection activeCell="C6" sqref="C6"/>
    </sheetView>
  </sheetViews>
  <sheetFormatPr baseColWidth="10" defaultRowHeight="16"/>
  <cols>
    <col min="1" max="2" width="10.625" style="1"/>
    <col min="3" max="3" width="8.875" style="1" customWidth="1"/>
    <col min="4" max="9" width="10.625" style="1"/>
    <col min="10" max="10" width="10.875" style="1" bestFit="1" customWidth="1"/>
    <col min="11" max="11" width="11.875" style="1" bestFit="1" customWidth="1"/>
    <col min="12" max="16384" width="10.625" style="1"/>
  </cols>
  <sheetData>
    <row r="1" spans="1:11" ht="18">
      <c r="C1" s="10" t="s">
        <v>29</v>
      </c>
      <c r="G1" s="1" t="s">
        <v>28</v>
      </c>
      <c r="H1" s="1" t="s">
        <v>27</v>
      </c>
      <c r="J1" s="1" t="s">
        <v>26</v>
      </c>
      <c r="K1" s="1" t="s">
        <v>25</v>
      </c>
    </row>
    <row r="4" spans="1:11" ht="18">
      <c r="A4" s="1" t="s">
        <v>22</v>
      </c>
      <c r="C4" s="8">
        <v>1467.21</v>
      </c>
      <c r="E4" s="1">
        <f>(SQRT(2*PI())*C6*C4)</f>
        <v>4175.7542079112691</v>
      </c>
      <c r="G4" s="1">
        <f>E9/E4</f>
        <v>0.53247653583503463</v>
      </c>
      <c r="H4" s="1">
        <f>E14/E4</f>
        <v>0.5671611174999649</v>
      </c>
      <c r="J4" s="7">
        <v>1443030</v>
      </c>
      <c r="K4" s="7">
        <v>11382700</v>
      </c>
    </row>
    <row r="5" spans="1:11" ht="18">
      <c r="C5" s="8">
        <v>711.02300000000002</v>
      </c>
    </row>
    <row r="6" spans="1:11" ht="18">
      <c r="C6" s="8">
        <v>1.13541</v>
      </c>
    </row>
    <row r="7" spans="1:11">
      <c r="C7" s="4"/>
    </row>
    <row r="8" spans="1:11">
      <c r="C8" s="4"/>
    </row>
    <row r="9" spans="1:11" ht="18">
      <c r="A9" s="1" t="s">
        <v>24</v>
      </c>
      <c r="C9" s="6">
        <v>780.23099999999999</v>
      </c>
      <c r="E9" s="1">
        <f>(SQRT(2*PI())*C11*C9)</f>
        <v>2223.4911351271617</v>
      </c>
    </row>
    <row r="10" spans="1:11" ht="18">
      <c r="C10" s="6">
        <v>709.88199999999995</v>
      </c>
    </row>
    <row r="11" spans="1:11" ht="18">
      <c r="C11" s="6">
        <v>1.1369</v>
      </c>
      <c r="I11" s="1" t="s">
        <v>0</v>
      </c>
    </row>
    <row r="12" spans="1:11">
      <c r="I12" s="1">
        <f>(J4/K4)*(H21/G4)*100</f>
        <v>15.579447179280329</v>
      </c>
    </row>
    <row r="14" spans="1:11" ht="18">
      <c r="A14" s="1" t="s">
        <v>4</v>
      </c>
      <c r="C14" s="6">
        <v>840.09100000000001</v>
      </c>
      <c r="E14" s="1">
        <f>(SQRT(2*PI())*C16*C14)</f>
        <v>2368.3254229641361</v>
      </c>
    </row>
    <row r="15" spans="1:11" ht="18">
      <c r="C15" s="6">
        <v>709.85400000000004</v>
      </c>
    </row>
    <row r="16" spans="1:11" ht="18">
      <c r="C16" s="6">
        <v>1.1246700000000001</v>
      </c>
    </row>
    <row r="19" spans="1:8" ht="18">
      <c r="C19" s="9" t="s">
        <v>23</v>
      </c>
    </row>
    <row r="21" spans="1:8" ht="18">
      <c r="A21" s="1" t="s">
        <v>22</v>
      </c>
      <c r="C21" s="6">
        <v>4558.08</v>
      </c>
      <c r="E21" s="1">
        <f>(SQRT(2*PI())*C23*C21)</f>
        <v>15138.785427111903</v>
      </c>
      <c r="H21" s="1">
        <f>E26/E21</f>
        <v>0.65436859451512963</v>
      </c>
    </row>
    <row r="22" spans="1:8" ht="18">
      <c r="C22" s="6">
        <v>1348.17</v>
      </c>
    </row>
    <row r="23" spans="1:8" ht="18">
      <c r="C23" s="6">
        <v>1.32501</v>
      </c>
    </row>
    <row r="26" spans="1:8" ht="18">
      <c r="A26" s="1" t="s">
        <v>4</v>
      </c>
      <c r="C26" s="6">
        <v>2999.78</v>
      </c>
      <c r="E26" s="1">
        <f>(SQRT(2*PI())*C28*C26)</f>
        <v>9906.3457426053428</v>
      </c>
    </row>
    <row r="27" spans="1:8" ht="18">
      <c r="C27" s="6">
        <v>1348.16</v>
      </c>
    </row>
    <row r="28" spans="1:8" ht="18">
      <c r="C28" s="6">
        <v>1.31745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24FC4-B85F-3448-8E2A-E4C44EA629AC}">
  <dimension ref="A1:C8"/>
  <sheetViews>
    <sheetView topLeftCell="A11" workbookViewId="0">
      <selection activeCell="G11" sqref="G11"/>
    </sheetView>
  </sheetViews>
  <sheetFormatPr baseColWidth="10" defaultRowHeight="16"/>
  <cols>
    <col min="1" max="16384" width="10.625" style="1"/>
  </cols>
  <sheetData>
    <row r="1" spans="1:3">
      <c r="A1" s="1" t="s">
        <v>160</v>
      </c>
      <c r="B1" s="1" t="s">
        <v>159</v>
      </c>
    </row>
    <row r="3" spans="1:3" ht="18">
      <c r="A3" s="6">
        <v>2164.83</v>
      </c>
      <c r="B3" s="6">
        <v>881.94899999999996</v>
      </c>
    </row>
    <row r="4" spans="1:3" ht="18">
      <c r="A4" s="6" t="s">
        <v>162</v>
      </c>
      <c r="B4" s="6">
        <v>263.505</v>
      </c>
    </row>
    <row r="5" spans="1:3" ht="18">
      <c r="A5" s="6">
        <v>0.86148899999999995</v>
      </c>
      <c r="B5" s="6">
        <v>0.866618</v>
      </c>
    </row>
    <row r="8" spans="1:3">
      <c r="A8" s="1">
        <f>SQRT(2*PI())*A3*A5</f>
        <v>4674.8046609483963</v>
      </c>
      <c r="B8" s="1">
        <f>SQRT(2*PI())*B3*B5</f>
        <v>1915.8482718675891</v>
      </c>
      <c r="C8" s="1">
        <f>B8/A8</f>
        <v>0.40982424097243741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3A609-792A-7642-9CAD-67077A136A92}">
  <dimension ref="A1:C13"/>
  <sheetViews>
    <sheetView workbookViewId="0">
      <selection activeCell="C6" sqref="C6"/>
    </sheetView>
  </sheetViews>
  <sheetFormatPr baseColWidth="10" defaultRowHeight="16"/>
  <cols>
    <col min="1" max="16384" width="10.625" style="1"/>
  </cols>
  <sheetData>
    <row r="1" spans="1:3">
      <c r="A1" s="1" t="s">
        <v>160</v>
      </c>
      <c r="B1" s="1" t="s">
        <v>159</v>
      </c>
    </row>
    <row r="3" spans="1:3" ht="18">
      <c r="A3" s="6">
        <v>1249.33</v>
      </c>
      <c r="B3" s="6">
        <v>449.46499999999997</v>
      </c>
    </row>
    <row r="4" spans="1:3" ht="18">
      <c r="A4" s="6">
        <v>612.30899999999997</v>
      </c>
      <c r="B4" s="6">
        <v>612.26199999999994</v>
      </c>
    </row>
    <row r="5" spans="1:3" ht="18">
      <c r="A5" s="6">
        <v>1.04376</v>
      </c>
      <c r="B5" s="6">
        <v>1.09826</v>
      </c>
    </row>
    <row r="7" spans="1:3">
      <c r="A7" s="1">
        <f>SQRT(2*PI())*A3*A5</f>
        <v>3268.6449766313535</v>
      </c>
      <c r="B7" s="1">
        <f>SQRT(2*PI())*B3*B5</f>
        <v>1237.3454886839495</v>
      </c>
      <c r="C7" s="1">
        <f>B7/A7</f>
        <v>0.37854997943494939</v>
      </c>
    </row>
    <row r="9" spans="1:3" ht="18">
      <c r="A9" s="6">
        <v>475.34699999999998</v>
      </c>
      <c r="B9" s="6">
        <v>181.48599999999999</v>
      </c>
    </row>
    <row r="10" spans="1:3" ht="18">
      <c r="A10" s="6">
        <v>771.077</v>
      </c>
      <c r="B10" s="6">
        <v>771.06799999999998</v>
      </c>
    </row>
    <row r="11" spans="1:3" ht="18">
      <c r="A11" s="6">
        <v>1.0912500000000001</v>
      </c>
      <c r="B11" s="6">
        <v>0.99794799999999995</v>
      </c>
    </row>
    <row r="13" spans="1:3">
      <c r="A13" s="1">
        <f>SQRT(2*PI())*A9*A11</f>
        <v>1300.2442689905904</v>
      </c>
      <c r="B13" s="1">
        <f>SQRT(2*PI())*B9*B11</f>
        <v>453.98444743875172</v>
      </c>
      <c r="C13" s="1">
        <f>B13/A13</f>
        <v>0.34915320010692324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F8B5B-F9EE-F84C-8391-8E968454A576}">
  <dimension ref="A1:H14"/>
  <sheetViews>
    <sheetView workbookViewId="0">
      <selection activeCell="C6" sqref="C6"/>
    </sheetView>
  </sheetViews>
  <sheetFormatPr baseColWidth="10" defaultRowHeight="16"/>
  <cols>
    <col min="1" max="2" width="8.875" style="1" bestFit="1" customWidth="1"/>
    <col min="3" max="16384" width="10.625" style="1"/>
  </cols>
  <sheetData>
    <row r="1" spans="1:8">
      <c r="A1" s="1" t="s">
        <v>160</v>
      </c>
      <c r="B1" s="1" t="s">
        <v>159</v>
      </c>
    </row>
    <row r="3" spans="1:8" ht="18">
      <c r="A3" s="6">
        <v>287.565</v>
      </c>
      <c r="B3" s="7">
        <v>317.685</v>
      </c>
    </row>
    <row r="4" spans="1:8" ht="18">
      <c r="A4" s="6" t="s">
        <v>161</v>
      </c>
      <c r="B4" s="7">
        <v>263.589</v>
      </c>
    </row>
    <row r="5" spans="1:8" ht="18">
      <c r="A5" s="6">
        <v>0.82717399999999996</v>
      </c>
      <c r="B5" s="7">
        <v>0.837754</v>
      </c>
    </row>
    <row r="7" spans="1:8">
      <c r="A7" s="11">
        <f>SQRT(2*PI())*A3*A5</f>
        <v>596.24237137926013</v>
      </c>
      <c r="B7" s="11">
        <f>SQRT(2*PI())*B3*B5</f>
        <v>667.11876019307033</v>
      </c>
      <c r="C7" s="4">
        <f>B7/A7</f>
        <v>1.1188717746607895</v>
      </c>
    </row>
    <row r="14" spans="1:8">
      <c r="H1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26</vt:i4>
      </vt:variant>
    </vt:vector>
  </HeadingPairs>
  <TitlesOfParts>
    <vt:vector size="26" baseType="lpstr">
      <vt:lpstr>Tri runs</vt:lpstr>
      <vt:lpstr>Tri runs MANIP</vt:lpstr>
      <vt:lpstr>Eff 82Ga</vt:lpstr>
      <vt:lpstr>eff82 bis</vt:lpstr>
      <vt:lpstr>eff82 bis bis</vt:lpstr>
      <vt:lpstr>etude incert sys fit</vt:lpstr>
      <vt:lpstr>etude code coincs</vt:lpstr>
      <vt:lpstr>Etude effb Qb</vt:lpstr>
      <vt:lpstr>Pn 82Ga</vt:lpstr>
      <vt:lpstr>Eff 84Ga</vt:lpstr>
      <vt:lpstr>eff 84Ga bis</vt:lpstr>
      <vt:lpstr>&lt;n&gt;  84Ga</vt:lpstr>
      <vt:lpstr>P2n 84Ga</vt:lpstr>
      <vt:lpstr>Eff 125Ag</vt:lpstr>
      <vt:lpstr>Pn 125Ag</vt:lpstr>
      <vt:lpstr>Rapports d'embranchement 84Ga</vt:lpstr>
      <vt:lpstr>Calibration Run par Run</vt:lpstr>
      <vt:lpstr>Efficacité source dans chambre</vt:lpstr>
      <vt:lpstr>Calbration RUN58</vt:lpstr>
      <vt:lpstr>Comparaison reglages beta</vt:lpstr>
      <vt:lpstr>RUN51</vt:lpstr>
      <vt:lpstr>Feuil1</vt:lpstr>
      <vt:lpstr>Calcul Pn 82Ga avec RUN29</vt:lpstr>
      <vt:lpstr>RUN55</vt:lpstr>
      <vt:lpstr>RUN56</vt:lpstr>
      <vt:lpstr>RUN61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Emile Cantacuzene</cp:lastModifiedBy>
  <dcterms:created xsi:type="dcterms:W3CDTF">2024-02-29T12:53:17Z</dcterms:created>
  <dcterms:modified xsi:type="dcterms:W3CDTF">2025-11-02T19:33:59Z</dcterms:modified>
</cp:coreProperties>
</file>